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blackin/Desktop/SUMMER2023/ResearchRotation/github_acres/synthpop-bookdown/"/>
    </mc:Choice>
  </mc:AlternateContent>
  <xr:revisionPtr revIDLastSave="0" documentId="13_ncr:1_{B8EAFA0F-8482-F749-AAAB-9867F000F1F9}" xr6:coauthVersionLast="47" xr6:coauthVersionMax="47" xr10:uidLastSave="{00000000-0000-0000-0000-000000000000}"/>
  <bookViews>
    <workbookView xWindow="3420" yWindow="0" windowWidth="18480" windowHeight="16940" activeTab="1" xr2:uid="{728C30FC-F468-2B4F-9B50-2C3637DB5505}"/>
  </bookViews>
  <sheets>
    <sheet name="overall" sheetId="1" r:id="rId1"/>
    <sheet name="PUMA00505" sheetId="2" r:id="rId2"/>
    <sheet name="PUMA00506" sheetId="3" r:id="rId3"/>
    <sheet name="PUMA00507" sheetId="4" r:id="rId4"/>
    <sheet name="PUMA00508" sheetId="5" r:id="rId5"/>
    <sheet name="PUMA01000" sheetId="6" r:id="rId6"/>
    <sheet name="PUMA01300" sheetId="7" r:id="rId7"/>
    <sheet name="PUMA02800" sheetId="8" r:id="rId8"/>
    <sheet name="PUMA03302" sheetId="9" r:id="rId9"/>
    <sheet name="PUMA03306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0" l="1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1" i="10"/>
  <c r="B29" i="9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1" i="9"/>
  <c r="B30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1" i="8"/>
  <c r="B30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1" i="7"/>
  <c r="B3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1" i="6"/>
  <c r="B31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1" i="5"/>
  <c r="B34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1" i="4"/>
  <c r="B36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1" i="3"/>
  <c r="B1" i="2"/>
  <c r="B36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</calcChain>
</file>

<file path=xl/sharedStrings.xml><?xml version="1.0" encoding="utf-8"?>
<sst xmlns="http://schemas.openxmlformats.org/spreadsheetml/2006/main" count="308" uniqueCount="66">
  <si>
    <t>American</t>
  </si>
  <si>
    <t>Armenian</t>
  </si>
  <si>
    <t>English</t>
  </si>
  <si>
    <t>European</t>
  </si>
  <si>
    <t>French..except.Basque.</t>
  </si>
  <si>
    <t>French.Canadian</t>
  </si>
  <si>
    <t>German</t>
  </si>
  <si>
    <t>Greek</t>
  </si>
  <si>
    <t>Irish</t>
  </si>
  <si>
    <t>Italian</t>
  </si>
  <si>
    <t>Polish</t>
  </si>
  <si>
    <t>Russian</t>
  </si>
  <si>
    <t>Scottish</t>
  </si>
  <si>
    <t>Unclassified.or.not.reported</t>
  </si>
  <si>
    <t>Hispanic.or.Latino...Puerto.Rican</t>
  </si>
  <si>
    <t>Hispanic.or.Latino...Cuban</t>
  </si>
  <si>
    <t>Hispanic.or.Latino...Dominican..Dominican.Republic.</t>
  </si>
  <si>
    <t>Hispanic.or.Latino...Central.American...Costa.Rican</t>
  </si>
  <si>
    <t>Hispanic.or.Latino...Central.American...Guatemalan</t>
  </si>
  <si>
    <t>Hispanic.or.Latino...Central.American...Honduran</t>
  </si>
  <si>
    <t>Hispanic.or.Latino...Central.American...Nicaraguan</t>
  </si>
  <si>
    <t>Hispanic.or.Latino...Central.American...Panamanian</t>
  </si>
  <si>
    <t>Hispanic.or.Latino...Central.American...Salvadoran</t>
  </si>
  <si>
    <t>Hispanic.or.Latino...South.American...Argentinean</t>
  </si>
  <si>
    <t>Hispanic.or.Latino...South.American...Bolivian</t>
  </si>
  <si>
    <t>Hispanic.or.Latino...South.American...Chilean</t>
  </si>
  <si>
    <t>Hispanic.or.Latino...South.American...Colombian</t>
  </si>
  <si>
    <t>Hispanic.or.Latino...South.American...Ecuadorian</t>
  </si>
  <si>
    <t>Hispanic.or.Latino...South.American...Peruvian</t>
  </si>
  <si>
    <t>Hispanic.or.Latino...South.American...Uruguayan</t>
  </si>
  <si>
    <t>Hispanic.or.Latino...South.American...Venezuelan</t>
  </si>
  <si>
    <t>Hispanic.or.Latino...Other.Hispanic.or.Latino.</t>
  </si>
  <si>
    <t>other</t>
  </si>
  <si>
    <t>Eastern.European</t>
  </si>
  <si>
    <t>Swedish</t>
  </si>
  <si>
    <t>Hispanic.or.Latino...South.American...Other.South.American</t>
  </si>
  <si>
    <t>British</t>
  </si>
  <si>
    <t>Portuguese</t>
  </si>
  <si>
    <t>Subsaharan.African...Ethiopian</t>
  </si>
  <si>
    <t>West.Indian..except.Hispanic.groups....Haitian</t>
  </si>
  <si>
    <t>Hispanic.or.Latino...Central.American...Other.Central.American</t>
  </si>
  <si>
    <t>Brazilian</t>
  </si>
  <si>
    <t>Hispanic.or.Latino...South.American...Paraguayan</t>
  </si>
  <si>
    <t>Arab...Moroccan</t>
  </si>
  <si>
    <t>PUMA</t>
  </si>
  <si>
    <t>Ancestry Variables Included</t>
  </si>
  <si>
    <t>00503</t>
  </si>
  <si>
    <t>00505</t>
  </si>
  <si>
    <t>00506</t>
  </si>
  <si>
    <t>00507</t>
  </si>
  <si>
    <t>00508</t>
  </si>
  <si>
    <t>01000</t>
  </si>
  <si>
    <t>01300</t>
  </si>
  <si>
    <t>02800</t>
  </si>
  <si>
    <t>03302</t>
  </si>
  <si>
    <t>03306</t>
  </si>
  <si>
    <t>American, Armenian, English, European, French  except Basque , French Canadian, German, Greek, Irish, Italian, Polish, Russian, Scottish, Unclassified or not reported, Puerto Rican, Cuban, Dominican: Dominican Republic, Central American: Costa Rican, Central American: Guatemalan, Central American: Honduran, Central American: Nicaraguan, Central American: Panamanian, Central American: Salvadoran, South American: Argentinean, South American: Bolivian, South American: Chilean, South American: Colombian, South American: Ecuadorian, South American: Peruvian, South American: Uruguayan, South American: Venezuelan, Other Hispanic or Latino, other</t>
  </si>
  <si>
    <t>American, Armenian, Eastern European, English, European, French  except Basque , French Canadian, German, Greek, Irish, Italian, Polish, Russian, Scottish, Swedish, Unclassified or not reported, Puerto Rican, Cuban, Dominican: Dominican Republic, Central American: Costa Rican, Central American: Guatemalan, Central American: Honduran, Central American: Nicaraguan, Central American: Panamanian, Central American: Salvadoran, South American: Argentinean, South American: Bolivian, South American: Chilean, South American: Colombian, South American: Ecuadorian, South American: Peruvian, South American: Uruguayan, South American: Venezuelan, South American: Other South American, Other Hispanic or Latino, other</t>
  </si>
  <si>
    <t>American, British, Eastern European, English, European, French  except Basque , German, Irish, Italian, Polish, Portuguese, Russian, Scottish, Subsaharan African: Ethiopian, Swedish, West Indian  except Hispanic groups:  Haitian, Unclassified or not reported, Puerto Rican, Cuban, Dominican: Dominican Republic, Central American: Guatemalan, Central American: Honduran, Central American: Nicaraguan, Central American: Panamanian, Central American: Salvadoran, Central American: Other Central American, South American: Argentinean, South American: Bolivian, South American: Chilean, South American: Colombian, South American: Ecuadorian, South American: Peruvian, South American: Uruguayan, South American: Venezuelan, Other Hispanic or Latino, other</t>
  </si>
  <si>
    <t>American, Brazilian, English, European, French  except Basque , French Canadian, German, Irish, Italian, Polish, Portuguese, Russian, West Indian  except Hispanic groups:  Haitian, Unclassified or not reported, Puerto Rican, Cuban, Dominican: Dominican Republic, Central American: Costa Rican, Central American: Guatemalan, Central American: Honduran, Central American: Panamanian, Central American: Salvadoran, Central American: Other Central American, South American: Argentinean, South American: Bolivian, South American: Chilean, South American: Colombian, South American: Ecuadorian, South American: Paraguayan, South American: Peruvian, South American: Venezuelan, South American: Other South American, Other Hispanic or Latino, other</t>
  </si>
  <si>
    <t>American, Brazilian, English, French  except Basque , French Canadian, German, Irish, Italian, Polish, Portuguese, Russian, Scottish, West Indian  except Hispanic groups:  Haitian, Unclassified or not reported, Puerto Rican, Cuban, Dominican: Dominican Republic, Central American: Costa Rican, Central American: Guatemalan, Central American: Honduran, Central American: Panamanian, Central American: Salvadoran, South American: Argentinean, South American: Bolivian, South American: Chilean, South American: Colombian, South American: Ecuadorian, South American: Peruvian, South American: Venezuelan, Other Hispanic or Latino, other</t>
  </si>
  <si>
    <t>American, English, French  except Basque , French Canadian, German, Greek, Irish, Italian, Polish, Portuguese, Russian, Scottish, Swedish, Unclassified or not reported, Puerto Rican, Cuban, Dominican: Dominican Republic, Central American: Costa Rican, Central American: Guatemalan, Central American: Honduran, Central American: Nicaraguan, Central American: Panamanian, Central American: Salvadoran, South American: Argentinean, South American: Chilean, South American: Colombian, South American: Ecuadorian, South American: Peruvian, South American: Venezuelan, Other Hispanic or Latino, other</t>
  </si>
  <si>
    <t>American, English, French  except Basque , French Canadian, German, Greek, Irish, Italian, Polish, Portuguese, Scottish, Swedish, Unclassified or not reported, Puerto Rican, Cuban, Dominican: Dominican Republic, Central American: Costa Rican, Central American: Guatemalan, Central American: Honduran, Central American: Nicaraguan, Central American: Panamanian, Central American: Salvadoran, South American: Argentinean, South American: Chilean, South American: Colombian, South American: Ecuadorian, South American: Paraguayan, South American: Venezuelan, Other Hispanic or Latino, other</t>
  </si>
  <si>
    <t>American, English, French  except Basque , French Canadian, German, Greek, Irish, Italian, Polish, Portuguese, Scottish, Swedish, Unclassified or not reported, Puerto Rican, Cuban, Dominican: Dominican Republic, Central American: Costa Rican, Central American: Guatemalan, Central American: Honduran, Central American: Nicaraguan, Central American: Panamanian, Central American: Salvadoran, South American: Argentinean, South American: Chilean, South American: Colombian, South American: Ecuadorian, South American: Peruvian, South American: Venezuelan, Other Hispanic or Latino, other</t>
  </si>
  <si>
    <t>American, English, European, French  except Basque , French Canadian, German, Irish, Italian, Polish, Russian, Scottish, Unclassified or not reported, Puerto Rican, Cuban, Dominican: Dominican Republic, Central American: Costa Rican, Central American: Guatemalan, Central American: Honduran, Central American: Nicaraguan, Central American: Salvadoran, Central American: Other Central American, South American: Argentinean, South American: Bolivian, South American: Colombian, South American: Ecuadorian, South American: Peruvian, South American: Venezuelan, Other Hispanic or Latino, other</t>
  </si>
  <si>
    <t>American, Arab: Moroccan, Brazilian, English, German, Irish, Italian, Polish, Portuguese, Unclassified or not reported, Puerto Rican, Cuban, Dominican: Dominican Republic, Central American: Costa Rican, Central American: Guatemalan, Central American: Honduran, Central American: Nicaraguan, Central American: Panamanian, Central American: Salvadoran, Central American: Other Central American, South American: Argentinean, South American: Bolivian, South American: Chilean, South American: Colombian, South American: Ecuadorian, South American: Peruvian, South American: Venezuelan, Other Hispanic or Latino,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</si>
</sst>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3355-D665-464A-B269-E4432727777C}">
  <dimension ref="A1:B34"/>
  <sheetViews>
    <sheetView workbookViewId="0">
      <selection activeCell="C3" sqref="C3"/>
    </sheetView>
  </sheetViews>
  <sheetFormatPr baseColWidth="10" defaultRowHeight="16" x14ac:dyDescent="0.2"/>
  <cols>
    <col min="1" max="1" width="10.83203125" style="2"/>
    <col min="2" max="2" width="44.5" style="3" bestFit="1" customWidth="1"/>
    <col min="3" max="3" width="10.83203125" style="3"/>
    <col min="4" max="4" width="32.5" style="3" customWidth="1"/>
    <col min="5" max="16384" width="10.83203125" style="3"/>
  </cols>
  <sheetData>
    <row r="1" spans="1:2" s="3" customFormat="1" x14ac:dyDescent="0.2">
      <c r="A1" s="2" t="s">
        <v>44</v>
      </c>
      <c r="B1" s="3" t="s">
        <v>45</v>
      </c>
    </row>
    <row r="2" spans="1:2" s="3" customFormat="1" ht="238" x14ac:dyDescent="0.2">
      <c r="A2" s="2" t="s">
        <v>46</v>
      </c>
      <c r="B2" s="4" t="s">
        <v>56</v>
      </c>
    </row>
    <row r="3" spans="1:2" s="3" customFormat="1" ht="272" x14ac:dyDescent="0.2">
      <c r="A3" s="2" t="s">
        <v>47</v>
      </c>
      <c r="B3" s="4" t="s">
        <v>57</v>
      </c>
    </row>
    <row r="4" spans="1:2" s="3" customFormat="1" ht="289" x14ac:dyDescent="0.2">
      <c r="A4" s="2" t="s">
        <v>48</v>
      </c>
      <c r="B4" s="4" t="s">
        <v>58</v>
      </c>
    </row>
    <row r="5" spans="1:2" s="3" customFormat="1" ht="272" x14ac:dyDescent="0.2">
      <c r="A5" s="2" t="s">
        <v>49</v>
      </c>
      <c r="B5" s="4" t="s">
        <v>59</v>
      </c>
    </row>
    <row r="6" spans="1:2" s="3" customFormat="1" ht="238" x14ac:dyDescent="0.2">
      <c r="A6" s="2" t="s">
        <v>50</v>
      </c>
      <c r="B6" s="4" t="s">
        <v>60</v>
      </c>
    </row>
    <row r="7" spans="1:2" s="3" customFormat="1" ht="221" x14ac:dyDescent="0.2">
      <c r="A7" s="2" t="s">
        <v>51</v>
      </c>
      <c r="B7" s="4" t="s">
        <v>61</v>
      </c>
    </row>
    <row r="8" spans="1:2" s="3" customFormat="1" ht="221" x14ac:dyDescent="0.2">
      <c r="A8" s="2" t="s">
        <v>52</v>
      </c>
      <c r="B8" s="4" t="s">
        <v>62</v>
      </c>
    </row>
    <row r="9" spans="1:2" s="3" customFormat="1" ht="221" x14ac:dyDescent="0.2">
      <c r="A9" s="2" t="s">
        <v>53</v>
      </c>
      <c r="B9" s="4" t="s">
        <v>63</v>
      </c>
    </row>
    <row r="10" spans="1:2" s="3" customFormat="1" ht="221" x14ac:dyDescent="0.2">
      <c r="A10" s="2" t="s">
        <v>54</v>
      </c>
      <c r="B10" s="4" t="s">
        <v>64</v>
      </c>
    </row>
    <row r="11" spans="1:2" s="3" customFormat="1" ht="238" x14ac:dyDescent="0.2">
      <c r="A11" s="2" t="s">
        <v>55</v>
      </c>
      <c r="B11" s="4" t="s">
        <v>65</v>
      </c>
    </row>
    <row r="12" spans="1:2" s="3" customFormat="1" x14ac:dyDescent="0.2">
      <c r="A12" s="2"/>
    </row>
    <row r="13" spans="1:2" s="3" customFormat="1" x14ac:dyDescent="0.2">
      <c r="A13" s="2"/>
    </row>
    <row r="14" spans="1:2" s="3" customFormat="1" x14ac:dyDescent="0.2">
      <c r="A14" s="2"/>
    </row>
    <row r="15" spans="1:2" s="3" customFormat="1" x14ac:dyDescent="0.2">
      <c r="A15" s="2"/>
    </row>
    <row r="16" spans="1:2" s="3" customFormat="1" x14ac:dyDescent="0.2">
      <c r="A16" s="2"/>
    </row>
    <row r="17" spans="1:1" s="3" customFormat="1" x14ac:dyDescent="0.2">
      <c r="A17" s="2"/>
    </row>
    <row r="18" spans="1:1" s="3" customFormat="1" x14ac:dyDescent="0.2">
      <c r="A18" s="2"/>
    </row>
    <row r="19" spans="1:1" s="3" customFormat="1" x14ac:dyDescent="0.2">
      <c r="A19" s="2"/>
    </row>
    <row r="20" spans="1:1" s="3" customFormat="1" x14ac:dyDescent="0.2">
      <c r="A20" s="2"/>
    </row>
    <row r="21" spans="1:1" s="3" customFormat="1" x14ac:dyDescent="0.2">
      <c r="A21" s="2"/>
    </row>
    <row r="22" spans="1:1" s="3" customFormat="1" x14ac:dyDescent="0.2">
      <c r="A22" s="2"/>
    </row>
    <row r="23" spans="1:1" s="3" customFormat="1" x14ac:dyDescent="0.2">
      <c r="A23" s="2"/>
    </row>
    <row r="24" spans="1:1" s="3" customFormat="1" x14ac:dyDescent="0.2">
      <c r="A24" s="2"/>
    </row>
    <row r="25" spans="1:1" s="3" customFormat="1" x14ac:dyDescent="0.2">
      <c r="A25" s="2"/>
    </row>
    <row r="26" spans="1:1" s="3" customFormat="1" x14ac:dyDescent="0.2">
      <c r="A26" s="2"/>
    </row>
    <row r="27" spans="1:1" s="3" customFormat="1" x14ac:dyDescent="0.2">
      <c r="A27" s="2"/>
    </row>
    <row r="28" spans="1:1" s="3" customFormat="1" x14ac:dyDescent="0.2">
      <c r="A28" s="2"/>
    </row>
    <row r="29" spans="1:1" s="3" customFormat="1" x14ac:dyDescent="0.2">
      <c r="A29" s="2"/>
    </row>
    <row r="30" spans="1:1" s="3" customFormat="1" x14ac:dyDescent="0.2">
      <c r="A30" s="2"/>
    </row>
    <row r="31" spans="1:1" s="3" customFormat="1" x14ac:dyDescent="0.2">
      <c r="A31" s="2"/>
    </row>
    <row r="32" spans="1:1" s="3" customFormat="1" x14ac:dyDescent="0.2">
      <c r="A32" s="2"/>
    </row>
    <row r="33" spans="1:1" s="3" customFormat="1" x14ac:dyDescent="0.2">
      <c r="A33" s="2"/>
    </row>
    <row r="34" spans="1:1" s="3" customFormat="1" x14ac:dyDescent="0.2">
      <c r="A3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82B9-363D-1D4F-8B87-020E37D05AD5}">
  <dimension ref="A1:AK36"/>
  <sheetViews>
    <sheetView tabSelected="1" workbookViewId="0">
      <selection activeCell="B2" sqref="B2"/>
    </sheetView>
  </sheetViews>
  <sheetFormatPr baseColWidth="10" defaultRowHeight="16" x14ac:dyDescent="0.2"/>
  <cols>
    <col min="1" max="1" width="50.33203125" customWidth="1"/>
  </cols>
  <sheetData>
    <row r="1" spans="1:37" x14ac:dyDescent="0.2">
      <c r="A1" s="1" t="s">
        <v>0</v>
      </c>
      <c r="B1" s="1" t="str">
        <f>_xlfn.CONCAT(A1,", ")</f>
        <v xml:space="preserve">American, 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">
      <c r="A2" s="1" t="s">
        <v>1</v>
      </c>
      <c r="B2" s="1" t="str">
        <f t="shared" ref="B2:B36" si="0">_xlfn.CONCAT(A2,", ")</f>
        <v xml:space="preserve">Armenian, 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2">
      <c r="A3" s="1" t="s">
        <v>33</v>
      </c>
      <c r="B3" s="1" t="str">
        <f t="shared" si="0"/>
        <v xml:space="preserve">Eastern.European, 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2">
      <c r="A4" s="1" t="s">
        <v>2</v>
      </c>
      <c r="B4" s="1" t="str">
        <f t="shared" si="0"/>
        <v xml:space="preserve">English, 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">
      <c r="A5" s="1" t="s">
        <v>3</v>
      </c>
      <c r="B5" s="1" t="str">
        <f t="shared" si="0"/>
        <v xml:space="preserve">European, 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">
      <c r="A6" s="1" t="s">
        <v>4</v>
      </c>
      <c r="B6" s="1" t="str">
        <f t="shared" si="0"/>
        <v xml:space="preserve">French..except.Basque., 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">
      <c r="A7" s="1" t="s">
        <v>5</v>
      </c>
      <c r="B7" s="1" t="str">
        <f t="shared" si="0"/>
        <v xml:space="preserve">French.Canadian, 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">
      <c r="A8" s="1" t="s">
        <v>6</v>
      </c>
      <c r="B8" s="1" t="str">
        <f t="shared" si="0"/>
        <v xml:space="preserve">German, 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">
      <c r="A9" s="1" t="s">
        <v>7</v>
      </c>
      <c r="B9" s="1" t="str">
        <f t="shared" si="0"/>
        <v xml:space="preserve">Greek, 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">
      <c r="A10" s="1" t="s">
        <v>8</v>
      </c>
      <c r="B10" s="1" t="str">
        <f t="shared" si="0"/>
        <v xml:space="preserve">Irish, 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">
      <c r="A11" s="1" t="s">
        <v>9</v>
      </c>
      <c r="B11" s="1" t="str">
        <f t="shared" si="0"/>
        <v xml:space="preserve">Italian, 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">
      <c r="A12" s="1" t="s">
        <v>10</v>
      </c>
      <c r="B12" s="1" t="str">
        <f t="shared" si="0"/>
        <v xml:space="preserve">Polish, 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">
      <c r="A13" s="1" t="s">
        <v>11</v>
      </c>
      <c r="B13" s="1" t="str">
        <f t="shared" si="0"/>
        <v xml:space="preserve">Russian, 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">
      <c r="A14" s="1" t="s">
        <v>12</v>
      </c>
      <c r="B14" s="1" t="str">
        <f t="shared" si="0"/>
        <v xml:space="preserve">Scottish, 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">
      <c r="A15" s="1" t="s">
        <v>34</v>
      </c>
      <c r="B15" s="1" t="str">
        <f t="shared" si="0"/>
        <v xml:space="preserve">Swedish, 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">
      <c r="A16" s="1" t="s">
        <v>13</v>
      </c>
      <c r="B16" s="1" t="str">
        <f t="shared" si="0"/>
        <v xml:space="preserve">Unclassified.or.not.reported, 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">
      <c r="A17" s="1" t="s">
        <v>14</v>
      </c>
      <c r="B17" s="1" t="str">
        <f t="shared" si="0"/>
        <v xml:space="preserve">Hispanic.or.Latino...Puerto.Rican, 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">
      <c r="A18" s="1" t="s">
        <v>15</v>
      </c>
      <c r="B18" s="1" t="str">
        <f t="shared" si="0"/>
        <v xml:space="preserve">Hispanic.or.Latino...Cuban, 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">
      <c r="A19" s="1" t="s">
        <v>16</v>
      </c>
      <c r="B19" s="1" t="str">
        <f t="shared" si="0"/>
        <v xml:space="preserve">Hispanic.or.Latino...Dominican..Dominican.Republic., 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">
      <c r="A20" s="1" t="s">
        <v>17</v>
      </c>
      <c r="B20" s="1" t="str">
        <f t="shared" si="0"/>
        <v xml:space="preserve">Hispanic.or.Latino...Central.American...Costa.Rican, 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">
      <c r="A21" s="1" t="s">
        <v>18</v>
      </c>
      <c r="B21" s="1" t="str">
        <f t="shared" si="0"/>
        <v xml:space="preserve">Hispanic.or.Latino...Central.American...Guatemalan, 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">
      <c r="A22" s="1" t="s">
        <v>19</v>
      </c>
      <c r="B22" s="1" t="str">
        <f t="shared" si="0"/>
        <v xml:space="preserve">Hispanic.or.Latino...Central.American...Honduran, 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">
      <c r="A23" s="1" t="s">
        <v>20</v>
      </c>
      <c r="B23" s="1" t="str">
        <f t="shared" si="0"/>
        <v xml:space="preserve">Hispanic.or.Latino...Central.American...Nicaraguan, 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">
      <c r="A24" s="1" t="s">
        <v>21</v>
      </c>
      <c r="B24" s="1" t="str">
        <f t="shared" si="0"/>
        <v xml:space="preserve">Hispanic.or.Latino...Central.American...Panamanian, 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">
      <c r="A25" s="1" t="s">
        <v>22</v>
      </c>
      <c r="B25" s="1" t="str">
        <f t="shared" si="0"/>
        <v xml:space="preserve">Hispanic.or.Latino...Central.American...Salvadoran, 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">
      <c r="A26" s="1" t="s">
        <v>23</v>
      </c>
      <c r="B26" s="1" t="str">
        <f t="shared" si="0"/>
        <v xml:space="preserve">Hispanic.or.Latino...South.American...Argentinean, 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">
      <c r="A27" s="1" t="s">
        <v>24</v>
      </c>
      <c r="B27" s="1" t="str">
        <f t="shared" si="0"/>
        <v xml:space="preserve">Hispanic.or.Latino...South.American...Bolivian, 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">
      <c r="A28" s="1" t="s">
        <v>25</v>
      </c>
      <c r="B28" s="1" t="str">
        <f t="shared" si="0"/>
        <v xml:space="preserve">Hispanic.or.Latino...South.American...Chilean, 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">
      <c r="A29" s="1" t="s">
        <v>26</v>
      </c>
      <c r="B29" s="1" t="str">
        <f t="shared" si="0"/>
        <v xml:space="preserve">Hispanic.or.Latino...South.American...Colombian, 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">
      <c r="A30" s="1" t="s">
        <v>27</v>
      </c>
      <c r="B30" s="1" t="str">
        <f t="shared" si="0"/>
        <v xml:space="preserve">Hispanic.or.Latino...South.American...Ecuadorian, 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">
      <c r="A31" s="1" t="s">
        <v>28</v>
      </c>
      <c r="B31" s="1" t="str">
        <f t="shared" si="0"/>
        <v xml:space="preserve">Hispanic.or.Latino...South.American...Peruvian, 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">
      <c r="A32" s="1" t="s">
        <v>29</v>
      </c>
      <c r="B32" s="1" t="str">
        <f t="shared" si="0"/>
        <v xml:space="preserve">Hispanic.or.Latino...South.American...Uruguayan, </v>
      </c>
    </row>
    <row r="33" spans="1:2" x14ac:dyDescent="0.2">
      <c r="A33" s="1" t="s">
        <v>30</v>
      </c>
      <c r="B33" s="1" t="str">
        <f t="shared" si="0"/>
        <v xml:space="preserve">Hispanic.or.Latino...South.American...Venezuelan, </v>
      </c>
    </row>
    <row r="34" spans="1:2" x14ac:dyDescent="0.2">
      <c r="A34" s="1" t="s">
        <v>35</v>
      </c>
      <c r="B34" s="1" t="str">
        <f t="shared" si="0"/>
        <v xml:space="preserve">Hispanic.or.Latino...South.American...Other.South.American, </v>
      </c>
    </row>
    <row r="35" spans="1:2" x14ac:dyDescent="0.2">
      <c r="A35" s="1" t="s">
        <v>31</v>
      </c>
      <c r="B35" s="1" t="str">
        <f t="shared" si="0"/>
        <v xml:space="preserve">Hispanic.or.Latino...Other.Hispanic.or.Latino., </v>
      </c>
    </row>
    <row r="36" spans="1:2" x14ac:dyDescent="0.2">
      <c r="A36" s="1" t="s">
        <v>32</v>
      </c>
      <c r="B36" s="1" t="str">
        <f>_xlfn.CONCAT(A36)</f>
        <v>other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5D25-43E8-2C4B-ACFB-0DD301C91396}">
  <dimension ref="A1:B36"/>
  <sheetViews>
    <sheetView workbookViewId="0">
      <selection activeCell="B37" sqref="B37"/>
    </sheetView>
  </sheetViews>
  <sheetFormatPr baseColWidth="10" defaultRowHeight="16" x14ac:dyDescent="0.2"/>
  <sheetData>
    <row r="1" spans="1:2" x14ac:dyDescent="0.2">
      <c r="A1" t="s">
        <v>0</v>
      </c>
      <c r="B1" t="str">
        <f>_xlfn.CONCAT(A1,", ")</f>
        <v xml:space="preserve">American, </v>
      </c>
    </row>
    <row r="2" spans="1:2" x14ac:dyDescent="0.2">
      <c r="A2" t="s">
        <v>36</v>
      </c>
      <c r="B2" t="str">
        <f t="shared" ref="B2:B36" si="0">_xlfn.CONCAT(A2,", ")</f>
        <v xml:space="preserve">British, </v>
      </c>
    </row>
    <row r="3" spans="1:2" x14ac:dyDescent="0.2">
      <c r="A3" t="s">
        <v>33</v>
      </c>
      <c r="B3" t="str">
        <f t="shared" si="0"/>
        <v xml:space="preserve">Eastern.European, </v>
      </c>
    </row>
    <row r="4" spans="1:2" x14ac:dyDescent="0.2">
      <c r="A4" t="s">
        <v>2</v>
      </c>
      <c r="B4" t="str">
        <f t="shared" si="0"/>
        <v xml:space="preserve">English, </v>
      </c>
    </row>
    <row r="5" spans="1:2" x14ac:dyDescent="0.2">
      <c r="A5" t="s">
        <v>3</v>
      </c>
      <c r="B5" t="str">
        <f t="shared" si="0"/>
        <v xml:space="preserve">European, </v>
      </c>
    </row>
    <row r="6" spans="1:2" x14ac:dyDescent="0.2">
      <c r="A6" t="s">
        <v>4</v>
      </c>
      <c r="B6" t="str">
        <f t="shared" si="0"/>
        <v xml:space="preserve">French..except.Basque., </v>
      </c>
    </row>
    <row r="7" spans="1:2" x14ac:dyDescent="0.2">
      <c r="A7" t="s">
        <v>6</v>
      </c>
      <c r="B7" t="str">
        <f t="shared" si="0"/>
        <v xml:space="preserve">German, </v>
      </c>
    </row>
    <row r="8" spans="1:2" x14ac:dyDescent="0.2">
      <c r="A8" t="s">
        <v>8</v>
      </c>
      <c r="B8" t="str">
        <f t="shared" si="0"/>
        <v xml:space="preserve">Irish, </v>
      </c>
    </row>
    <row r="9" spans="1:2" x14ac:dyDescent="0.2">
      <c r="A9" t="s">
        <v>9</v>
      </c>
      <c r="B9" t="str">
        <f t="shared" si="0"/>
        <v xml:space="preserve">Italian, </v>
      </c>
    </row>
    <row r="10" spans="1:2" x14ac:dyDescent="0.2">
      <c r="A10" t="s">
        <v>10</v>
      </c>
      <c r="B10" t="str">
        <f t="shared" si="0"/>
        <v xml:space="preserve">Polish, </v>
      </c>
    </row>
    <row r="11" spans="1:2" x14ac:dyDescent="0.2">
      <c r="A11" t="s">
        <v>37</v>
      </c>
      <c r="B11" t="str">
        <f t="shared" si="0"/>
        <v xml:space="preserve">Portuguese, </v>
      </c>
    </row>
    <row r="12" spans="1:2" x14ac:dyDescent="0.2">
      <c r="A12" t="s">
        <v>11</v>
      </c>
      <c r="B12" t="str">
        <f t="shared" si="0"/>
        <v xml:space="preserve">Russian, </v>
      </c>
    </row>
    <row r="13" spans="1:2" x14ac:dyDescent="0.2">
      <c r="A13" t="s">
        <v>12</v>
      </c>
      <c r="B13" t="str">
        <f t="shared" si="0"/>
        <v xml:space="preserve">Scottish, </v>
      </c>
    </row>
    <row r="14" spans="1:2" x14ac:dyDescent="0.2">
      <c r="A14" t="s">
        <v>38</v>
      </c>
      <c r="B14" t="str">
        <f t="shared" si="0"/>
        <v xml:space="preserve">Subsaharan.African...Ethiopian, </v>
      </c>
    </row>
    <row r="15" spans="1:2" x14ac:dyDescent="0.2">
      <c r="A15" t="s">
        <v>34</v>
      </c>
      <c r="B15" t="str">
        <f t="shared" si="0"/>
        <v xml:space="preserve">Swedish, </v>
      </c>
    </row>
    <row r="16" spans="1:2" x14ac:dyDescent="0.2">
      <c r="A16" t="s">
        <v>39</v>
      </c>
      <c r="B16" t="str">
        <f t="shared" si="0"/>
        <v xml:space="preserve">West.Indian..except.Hispanic.groups....Haitian, </v>
      </c>
    </row>
    <row r="17" spans="1:2" x14ac:dyDescent="0.2">
      <c r="A17" t="s">
        <v>13</v>
      </c>
      <c r="B17" t="str">
        <f t="shared" si="0"/>
        <v xml:space="preserve">Unclassified.or.not.reported, </v>
      </c>
    </row>
    <row r="18" spans="1:2" x14ac:dyDescent="0.2">
      <c r="A18" t="s">
        <v>14</v>
      </c>
      <c r="B18" t="str">
        <f t="shared" si="0"/>
        <v xml:space="preserve">Hispanic.or.Latino...Puerto.Rican, </v>
      </c>
    </row>
    <row r="19" spans="1:2" x14ac:dyDescent="0.2">
      <c r="A19" t="s">
        <v>15</v>
      </c>
      <c r="B19" t="str">
        <f t="shared" si="0"/>
        <v xml:space="preserve">Hispanic.or.Latino...Cuban, </v>
      </c>
    </row>
    <row r="20" spans="1:2" x14ac:dyDescent="0.2">
      <c r="A20" t="s">
        <v>16</v>
      </c>
      <c r="B20" t="str">
        <f t="shared" si="0"/>
        <v xml:space="preserve">Hispanic.or.Latino...Dominican..Dominican.Republic., </v>
      </c>
    </row>
    <row r="21" spans="1:2" x14ac:dyDescent="0.2">
      <c r="A21" t="s">
        <v>18</v>
      </c>
      <c r="B21" t="str">
        <f t="shared" si="0"/>
        <v xml:space="preserve">Hispanic.or.Latino...Central.American...Guatemalan, </v>
      </c>
    </row>
    <row r="22" spans="1:2" x14ac:dyDescent="0.2">
      <c r="A22" t="s">
        <v>19</v>
      </c>
      <c r="B22" t="str">
        <f t="shared" si="0"/>
        <v xml:space="preserve">Hispanic.or.Latino...Central.American...Honduran, </v>
      </c>
    </row>
    <row r="23" spans="1:2" x14ac:dyDescent="0.2">
      <c r="A23" t="s">
        <v>20</v>
      </c>
      <c r="B23" t="str">
        <f t="shared" si="0"/>
        <v xml:space="preserve">Hispanic.or.Latino...Central.American...Nicaraguan, </v>
      </c>
    </row>
    <row r="24" spans="1:2" x14ac:dyDescent="0.2">
      <c r="A24" t="s">
        <v>21</v>
      </c>
      <c r="B24" t="str">
        <f t="shared" si="0"/>
        <v xml:space="preserve">Hispanic.or.Latino...Central.American...Panamanian, </v>
      </c>
    </row>
    <row r="25" spans="1:2" x14ac:dyDescent="0.2">
      <c r="A25" t="s">
        <v>22</v>
      </c>
      <c r="B25" t="str">
        <f t="shared" si="0"/>
        <v xml:space="preserve">Hispanic.or.Latino...Central.American...Salvadoran, </v>
      </c>
    </row>
    <row r="26" spans="1:2" x14ac:dyDescent="0.2">
      <c r="A26" t="s">
        <v>40</v>
      </c>
      <c r="B26" t="str">
        <f t="shared" si="0"/>
        <v xml:space="preserve">Hispanic.or.Latino...Central.American...Other.Central.American, </v>
      </c>
    </row>
    <row r="27" spans="1:2" x14ac:dyDescent="0.2">
      <c r="A27" t="s">
        <v>23</v>
      </c>
      <c r="B27" t="str">
        <f t="shared" si="0"/>
        <v xml:space="preserve">Hispanic.or.Latino...South.American...Argentinean, </v>
      </c>
    </row>
    <row r="28" spans="1:2" x14ac:dyDescent="0.2">
      <c r="A28" t="s">
        <v>24</v>
      </c>
      <c r="B28" t="str">
        <f t="shared" si="0"/>
        <v xml:space="preserve">Hispanic.or.Latino...South.American...Bolivian, </v>
      </c>
    </row>
    <row r="29" spans="1:2" x14ac:dyDescent="0.2">
      <c r="A29" t="s">
        <v>25</v>
      </c>
      <c r="B29" t="str">
        <f t="shared" si="0"/>
        <v xml:space="preserve">Hispanic.or.Latino...South.American...Chilean, </v>
      </c>
    </row>
    <row r="30" spans="1:2" x14ac:dyDescent="0.2">
      <c r="A30" t="s">
        <v>26</v>
      </c>
      <c r="B30" t="str">
        <f t="shared" si="0"/>
        <v xml:space="preserve">Hispanic.or.Latino...South.American...Colombian, </v>
      </c>
    </row>
    <row r="31" spans="1:2" x14ac:dyDescent="0.2">
      <c r="A31" t="s">
        <v>27</v>
      </c>
      <c r="B31" t="str">
        <f t="shared" si="0"/>
        <v xml:space="preserve">Hispanic.or.Latino...South.American...Ecuadorian, </v>
      </c>
    </row>
    <row r="32" spans="1:2" x14ac:dyDescent="0.2">
      <c r="A32" t="s">
        <v>28</v>
      </c>
      <c r="B32" t="str">
        <f t="shared" si="0"/>
        <v xml:space="preserve">Hispanic.or.Latino...South.American...Peruvian, </v>
      </c>
    </row>
    <row r="33" spans="1:2" x14ac:dyDescent="0.2">
      <c r="A33" t="s">
        <v>29</v>
      </c>
      <c r="B33" t="str">
        <f t="shared" si="0"/>
        <v xml:space="preserve">Hispanic.or.Latino...South.American...Uruguayan, </v>
      </c>
    </row>
    <row r="34" spans="1:2" x14ac:dyDescent="0.2">
      <c r="A34" t="s">
        <v>30</v>
      </c>
      <c r="B34" t="str">
        <f t="shared" si="0"/>
        <v xml:space="preserve">Hispanic.or.Latino...South.American...Venezuelan, </v>
      </c>
    </row>
    <row r="35" spans="1:2" x14ac:dyDescent="0.2">
      <c r="A35" t="s">
        <v>31</v>
      </c>
      <c r="B35" t="str">
        <f t="shared" si="0"/>
        <v xml:space="preserve">Hispanic.or.Latino...Other.Hispanic.or.Latino., </v>
      </c>
    </row>
    <row r="36" spans="1:2" x14ac:dyDescent="0.2">
      <c r="A36" t="s">
        <v>32</v>
      </c>
      <c r="B36" t="str">
        <f>_xlfn.CONCAT(A36)</f>
        <v>other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B078-DB75-C24E-B419-F41DAE5488A3}">
  <dimension ref="A1:B34"/>
  <sheetViews>
    <sheetView workbookViewId="0">
      <selection activeCell="B35" sqref="B35"/>
    </sheetView>
  </sheetViews>
  <sheetFormatPr baseColWidth="10" defaultRowHeight="16" x14ac:dyDescent="0.2"/>
  <sheetData>
    <row r="1" spans="1:2" x14ac:dyDescent="0.2">
      <c r="A1" t="s">
        <v>0</v>
      </c>
      <c r="B1" t="str">
        <f>_xlfn.CONCAT(A1, ", ")</f>
        <v xml:space="preserve">American, </v>
      </c>
    </row>
    <row r="2" spans="1:2" x14ac:dyDescent="0.2">
      <c r="A2" t="s">
        <v>41</v>
      </c>
      <c r="B2" t="str">
        <f t="shared" ref="B2:B34" si="0">_xlfn.CONCAT(A2, ", ")</f>
        <v xml:space="preserve">Brazilian, </v>
      </c>
    </row>
    <row r="3" spans="1:2" x14ac:dyDescent="0.2">
      <c r="A3" t="s">
        <v>2</v>
      </c>
      <c r="B3" t="str">
        <f t="shared" si="0"/>
        <v xml:space="preserve">English, </v>
      </c>
    </row>
    <row r="4" spans="1:2" x14ac:dyDescent="0.2">
      <c r="A4" t="s">
        <v>3</v>
      </c>
      <c r="B4" t="str">
        <f t="shared" si="0"/>
        <v xml:space="preserve">European, </v>
      </c>
    </row>
    <row r="5" spans="1:2" x14ac:dyDescent="0.2">
      <c r="A5" t="s">
        <v>4</v>
      </c>
      <c r="B5" t="str">
        <f t="shared" si="0"/>
        <v xml:space="preserve">French..except.Basque., </v>
      </c>
    </row>
    <row r="6" spans="1:2" x14ac:dyDescent="0.2">
      <c r="A6" t="s">
        <v>5</v>
      </c>
      <c r="B6" t="str">
        <f t="shared" si="0"/>
        <v xml:space="preserve">French.Canadian, </v>
      </c>
    </row>
    <row r="7" spans="1:2" x14ac:dyDescent="0.2">
      <c r="A7" t="s">
        <v>6</v>
      </c>
      <c r="B7" t="str">
        <f t="shared" si="0"/>
        <v xml:space="preserve">German, </v>
      </c>
    </row>
    <row r="8" spans="1:2" x14ac:dyDescent="0.2">
      <c r="A8" t="s">
        <v>8</v>
      </c>
      <c r="B8" t="str">
        <f t="shared" si="0"/>
        <v xml:space="preserve">Irish, </v>
      </c>
    </row>
    <row r="9" spans="1:2" x14ac:dyDescent="0.2">
      <c r="A9" t="s">
        <v>9</v>
      </c>
      <c r="B9" t="str">
        <f t="shared" si="0"/>
        <v xml:space="preserve">Italian, </v>
      </c>
    </row>
    <row r="10" spans="1:2" x14ac:dyDescent="0.2">
      <c r="A10" t="s">
        <v>10</v>
      </c>
      <c r="B10" t="str">
        <f t="shared" si="0"/>
        <v xml:space="preserve">Polish, </v>
      </c>
    </row>
    <row r="11" spans="1:2" x14ac:dyDescent="0.2">
      <c r="A11" t="s">
        <v>37</v>
      </c>
      <c r="B11" t="str">
        <f t="shared" si="0"/>
        <v xml:space="preserve">Portuguese, </v>
      </c>
    </row>
    <row r="12" spans="1:2" x14ac:dyDescent="0.2">
      <c r="A12" t="s">
        <v>11</v>
      </c>
      <c r="B12" t="str">
        <f t="shared" si="0"/>
        <v xml:space="preserve">Russian, </v>
      </c>
    </row>
    <row r="13" spans="1:2" x14ac:dyDescent="0.2">
      <c r="A13" t="s">
        <v>39</v>
      </c>
      <c r="B13" t="str">
        <f t="shared" si="0"/>
        <v xml:space="preserve">West.Indian..except.Hispanic.groups....Haitian, </v>
      </c>
    </row>
    <row r="14" spans="1:2" x14ac:dyDescent="0.2">
      <c r="A14" t="s">
        <v>13</v>
      </c>
      <c r="B14" t="str">
        <f t="shared" si="0"/>
        <v xml:space="preserve">Unclassified.or.not.reported, </v>
      </c>
    </row>
    <row r="15" spans="1:2" x14ac:dyDescent="0.2">
      <c r="A15" t="s">
        <v>14</v>
      </c>
      <c r="B15" t="str">
        <f t="shared" si="0"/>
        <v xml:space="preserve">Hispanic.or.Latino...Puerto.Rican, </v>
      </c>
    </row>
    <row r="16" spans="1:2" x14ac:dyDescent="0.2">
      <c r="A16" t="s">
        <v>15</v>
      </c>
      <c r="B16" t="str">
        <f t="shared" si="0"/>
        <v xml:space="preserve">Hispanic.or.Latino...Cuban, </v>
      </c>
    </row>
    <row r="17" spans="1:2" x14ac:dyDescent="0.2">
      <c r="A17" t="s">
        <v>16</v>
      </c>
      <c r="B17" t="str">
        <f t="shared" si="0"/>
        <v xml:space="preserve">Hispanic.or.Latino...Dominican..Dominican.Republic., </v>
      </c>
    </row>
    <row r="18" spans="1:2" x14ac:dyDescent="0.2">
      <c r="A18" t="s">
        <v>17</v>
      </c>
      <c r="B18" t="str">
        <f t="shared" si="0"/>
        <v xml:space="preserve">Hispanic.or.Latino...Central.American...Costa.Rican, </v>
      </c>
    </row>
    <row r="19" spans="1:2" x14ac:dyDescent="0.2">
      <c r="A19" t="s">
        <v>18</v>
      </c>
      <c r="B19" t="str">
        <f t="shared" si="0"/>
        <v xml:space="preserve">Hispanic.or.Latino...Central.American...Guatemalan, </v>
      </c>
    </row>
    <row r="20" spans="1:2" x14ac:dyDescent="0.2">
      <c r="A20" t="s">
        <v>19</v>
      </c>
      <c r="B20" t="str">
        <f t="shared" si="0"/>
        <v xml:space="preserve">Hispanic.or.Latino...Central.American...Honduran, </v>
      </c>
    </row>
    <row r="21" spans="1:2" x14ac:dyDescent="0.2">
      <c r="A21" t="s">
        <v>21</v>
      </c>
      <c r="B21" t="str">
        <f t="shared" si="0"/>
        <v xml:space="preserve">Hispanic.or.Latino...Central.American...Panamanian, </v>
      </c>
    </row>
    <row r="22" spans="1:2" x14ac:dyDescent="0.2">
      <c r="A22" t="s">
        <v>22</v>
      </c>
      <c r="B22" t="str">
        <f t="shared" si="0"/>
        <v xml:space="preserve">Hispanic.or.Latino...Central.American...Salvadoran, </v>
      </c>
    </row>
    <row r="23" spans="1:2" x14ac:dyDescent="0.2">
      <c r="A23" t="s">
        <v>40</v>
      </c>
      <c r="B23" t="str">
        <f t="shared" si="0"/>
        <v xml:space="preserve">Hispanic.or.Latino...Central.American...Other.Central.American, </v>
      </c>
    </row>
    <row r="24" spans="1:2" x14ac:dyDescent="0.2">
      <c r="A24" t="s">
        <v>23</v>
      </c>
      <c r="B24" t="str">
        <f t="shared" si="0"/>
        <v xml:space="preserve">Hispanic.or.Latino...South.American...Argentinean, </v>
      </c>
    </row>
    <row r="25" spans="1:2" x14ac:dyDescent="0.2">
      <c r="A25" t="s">
        <v>24</v>
      </c>
      <c r="B25" t="str">
        <f t="shared" si="0"/>
        <v xml:space="preserve">Hispanic.or.Latino...South.American...Bolivian, </v>
      </c>
    </row>
    <row r="26" spans="1:2" x14ac:dyDescent="0.2">
      <c r="A26" t="s">
        <v>25</v>
      </c>
      <c r="B26" t="str">
        <f t="shared" si="0"/>
        <v xml:space="preserve">Hispanic.or.Latino...South.American...Chilean, </v>
      </c>
    </row>
    <row r="27" spans="1:2" x14ac:dyDescent="0.2">
      <c r="A27" t="s">
        <v>26</v>
      </c>
      <c r="B27" t="str">
        <f t="shared" si="0"/>
        <v xml:space="preserve">Hispanic.or.Latino...South.American...Colombian, </v>
      </c>
    </row>
    <row r="28" spans="1:2" x14ac:dyDescent="0.2">
      <c r="A28" t="s">
        <v>27</v>
      </c>
      <c r="B28" t="str">
        <f t="shared" si="0"/>
        <v xml:space="preserve">Hispanic.or.Latino...South.American...Ecuadorian, </v>
      </c>
    </row>
    <row r="29" spans="1:2" x14ac:dyDescent="0.2">
      <c r="A29" t="s">
        <v>42</v>
      </c>
      <c r="B29" t="str">
        <f t="shared" si="0"/>
        <v xml:space="preserve">Hispanic.or.Latino...South.American...Paraguayan, </v>
      </c>
    </row>
    <row r="30" spans="1:2" x14ac:dyDescent="0.2">
      <c r="A30" t="s">
        <v>28</v>
      </c>
      <c r="B30" t="str">
        <f t="shared" si="0"/>
        <v xml:space="preserve">Hispanic.or.Latino...South.American...Peruvian, </v>
      </c>
    </row>
    <row r="31" spans="1:2" x14ac:dyDescent="0.2">
      <c r="A31" t="s">
        <v>30</v>
      </c>
      <c r="B31" t="str">
        <f t="shared" si="0"/>
        <v xml:space="preserve">Hispanic.or.Latino...South.American...Venezuelan, </v>
      </c>
    </row>
    <row r="32" spans="1:2" x14ac:dyDescent="0.2">
      <c r="A32" t="s">
        <v>35</v>
      </c>
      <c r="B32" t="str">
        <f t="shared" si="0"/>
        <v xml:space="preserve">Hispanic.or.Latino...South.American...Other.South.American, </v>
      </c>
    </row>
    <row r="33" spans="1:2" x14ac:dyDescent="0.2">
      <c r="A33" t="s">
        <v>31</v>
      </c>
      <c r="B33" t="str">
        <f t="shared" si="0"/>
        <v xml:space="preserve">Hispanic.or.Latino...Other.Hispanic.or.Latino., </v>
      </c>
    </row>
    <row r="34" spans="1:2" x14ac:dyDescent="0.2">
      <c r="A34" t="s">
        <v>32</v>
      </c>
      <c r="B34" t="str">
        <f>_xlfn.CONCAT(A34)</f>
        <v>other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7CB6-C1A9-A54E-A354-438380862DA5}">
  <dimension ref="A1:B31"/>
  <sheetViews>
    <sheetView workbookViewId="0">
      <selection activeCell="B32" sqref="B32"/>
    </sheetView>
  </sheetViews>
  <sheetFormatPr baseColWidth="10" defaultRowHeight="16" x14ac:dyDescent="0.2"/>
  <sheetData>
    <row r="1" spans="1:2" x14ac:dyDescent="0.2">
      <c r="A1" t="s">
        <v>0</v>
      </c>
      <c r="B1" t="str">
        <f>_xlfn.CONCAT(A1,", ")</f>
        <v xml:space="preserve">American, </v>
      </c>
    </row>
    <row r="2" spans="1:2" x14ac:dyDescent="0.2">
      <c r="A2" t="s">
        <v>41</v>
      </c>
      <c r="B2" t="str">
        <f t="shared" ref="B2:B31" si="0">_xlfn.CONCAT(A2,", ")</f>
        <v xml:space="preserve">Brazilian, </v>
      </c>
    </row>
    <row r="3" spans="1:2" x14ac:dyDescent="0.2">
      <c r="A3" t="s">
        <v>2</v>
      </c>
      <c r="B3" t="str">
        <f t="shared" si="0"/>
        <v xml:space="preserve">English, </v>
      </c>
    </row>
    <row r="4" spans="1:2" x14ac:dyDescent="0.2">
      <c r="A4" t="s">
        <v>4</v>
      </c>
      <c r="B4" t="str">
        <f t="shared" si="0"/>
        <v xml:space="preserve">French..except.Basque., </v>
      </c>
    </row>
    <row r="5" spans="1:2" x14ac:dyDescent="0.2">
      <c r="A5" t="s">
        <v>5</v>
      </c>
      <c r="B5" t="str">
        <f t="shared" si="0"/>
        <v xml:space="preserve">French.Canadian, </v>
      </c>
    </row>
    <row r="6" spans="1:2" x14ac:dyDescent="0.2">
      <c r="A6" t="s">
        <v>6</v>
      </c>
      <c r="B6" t="str">
        <f t="shared" si="0"/>
        <v xml:space="preserve">German, </v>
      </c>
    </row>
    <row r="7" spans="1:2" x14ac:dyDescent="0.2">
      <c r="A7" t="s">
        <v>8</v>
      </c>
      <c r="B7" t="str">
        <f t="shared" si="0"/>
        <v xml:space="preserve">Irish, </v>
      </c>
    </row>
    <row r="8" spans="1:2" x14ac:dyDescent="0.2">
      <c r="A8" t="s">
        <v>9</v>
      </c>
      <c r="B8" t="str">
        <f t="shared" si="0"/>
        <v xml:space="preserve">Italian, </v>
      </c>
    </row>
    <row r="9" spans="1:2" x14ac:dyDescent="0.2">
      <c r="A9" t="s">
        <v>10</v>
      </c>
      <c r="B9" t="str">
        <f t="shared" si="0"/>
        <v xml:space="preserve">Polish, </v>
      </c>
    </row>
    <row r="10" spans="1:2" x14ac:dyDescent="0.2">
      <c r="A10" t="s">
        <v>37</v>
      </c>
      <c r="B10" t="str">
        <f t="shared" si="0"/>
        <v xml:space="preserve">Portuguese, </v>
      </c>
    </row>
    <row r="11" spans="1:2" x14ac:dyDescent="0.2">
      <c r="A11" t="s">
        <v>11</v>
      </c>
      <c r="B11" t="str">
        <f t="shared" si="0"/>
        <v xml:space="preserve">Russian, </v>
      </c>
    </row>
    <row r="12" spans="1:2" x14ac:dyDescent="0.2">
      <c r="A12" t="s">
        <v>12</v>
      </c>
      <c r="B12" t="str">
        <f t="shared" si="0"/>
        <v xml:space="preserve">Scottish, </v>
      </c>
    </row>
    <row r="13" spans="1:2" x14ac:dyDescent="0.2">
      <c r="A13" t="s">
        <v>39</v>
      </c>
      <c r="B13" t="str">
        <f t="shared" si="0"/>
        <v xml:space="preserve">West.Indian..except.Hispanic.groups....Haitian, </v>
      </c>
    </row>
    <row r="14" spans="1:2" x14ac:dyDescent="0.2">
      <c r="A14" t="s">
        <v>13</v>
      </c>
      <c r="B14" t="str">
        <f t="shared" si="0"/>
        <v xml:space="preserve">Unclassified.or.not.reported, </v>
      </c>
    </row>
    <row r="15" spans="1:2" x14ac:dyDescent="0.2">
      <c r="A15" t="s">
        <v>14</v>
      </c>
      <c r="B15" t="str">
        <f t="shared" si="0"/>
        <v xml:space="preserve">Hispanic.or.Latino...Puerto.Rican, </v>
      </c>
    </row>
    <row r="16" spans="1:2" x14ac:dyDescent="0.2">
      <c r="A16" t="s">
        <v>15</v>
      </c>
      <c r="B16" t="str">
        <f t="shared" si="0"/>
        <v xml:space="preserve">Hispanic.or.Latino...Cuban, </v>
      </c>
    </row>
    <row r="17" spans="1:2" x14ac:dyDescent="0.2">
      <c r="A17" t="s">
        <v>16</v>
      </c>
      <c r="B17" t="str">
        <f t="shared" si="0"/>
        <v xml:space="preserve">Hispanic.or.Latino...Dominican..Dominican.Republic., </v>
      </c>
    </row>
    <row r="18" spans="1:2" x14ac:dyDescent="0.2">
      <c r="A18" t="s">
        <v>17</v>
      </c>
      <c r="B18" t="str">
        <f t="shared" si="0"/>
        <v xml:space="preserve">Hispanic.or.Latino...Central.American...Costa.Rican, </v>
      </c>
    </row>
    <row r="19" spans="1:2" x14ac:dyDescent="0.2">
      <c r="A19" t="s">
        <v>18</v>
      </c>
      <c r="B19" t="str">
        <f t="shared" si="0"/>
        <v xml:space="preserve">Hispanic.or.Latino...Central.American...Guatemalan, </v>
      </c>
    </row>
    <row r="20" spans="1:2" x14ac:dyDescent="0.2">
      <c r="A20" t="s">
        <v>19</v>
      </c>
      <c r="B20" t="str">
        <f t="shared" si="0"/>
        <v xml:space="preserve">Hispanic.or.Latino...Central.American...Honduran, </v>
      </c>
    </row>
    <row r="21" spans="1:2" x14ac:dyDescent="0.2">
      <c r="A21" t="s">
        <v>21</v>
      </c>
      <c r="B21" t="str">
        <f t="shared" si="0"/>
        <v xml:space="preserve">Hispanic.or.Latino...Central.American...Panamanian, </v>
      </c>
    </row>
    <row r="22" spans="1:2" x14ac:dyDescent="0.2">
      <c r="A22" t="s">
        <v>22</v>
      </c>
      <c r="B22" t="str">
        <f t="shared" si="0"/>
        <v xml:space="preserve">Hispanic.or.Latino...Central.American...Salvadoran, </v>
      </c>
    </row>
    <row r="23" spans="1:2" x14ac:dyDescent="0.2">
      <c r="A23" t="s">
        <v>23</v>
      </c>
      <c r="B23" t="str">
        <f t="shared" si="0"/>
        <v xml:space="preserve">Hispanic.or.Latino...South.American...Argentinean, </v>
      </c>
    </row>
    <row r="24" spans="1:2" x14ac:dyDescent="0.2">
      <c r="A24" t="s">
        <v>24</v>
      </c>
      <c r="B24" t="str">
        <f t="shared" si="0"/>
        <v xml:space="preserve">Hispanic.or.Latino...South.American...Bolivian, </v>
      </c>
    </row>
    <row r="25" spans="1:2" x14ac:dyDescent="0.2">
      <c r="A25" t="s">
        <v>25</v>
      </c>
      <c r="B25" t="str">
        <f t="shared" si="0"/>
        <v xml:space="preserve">Hispanic.or.Latino...South.American...Chilean, </v>
      </c>
    </row>
    <row r="26" spans="1:2" x14ac:dyDescent="0.2">
      <c r="A26" t="s">
        <v>26</v>
      </c>
      <c r="B26" t="str">
        <f t="shared" si="0"/>
        <v xml:space="preserve">Hispanic.or.Latino...South.American...Colombian, </v>
      </c>
    </row>
    <row r="27" spans="1:2" x14ac:dyDescent="0.2">
      <c r="A27" t="s">
        <v>27</v>
      </c>
      <c r="B27" t="str">
        <f t="shared" si="0"/>
        <v xml:space="preserve">Hispanic.or.Latino...South.American...Ecuadorian, </v>
      </c>
    </row>
    <row r="28" spans="1:2" x14ac:dyDescent="0.2">
      <c r="A28" t="s">
        <v>28</v>
      </c>
      <c r="B28" t="str">
        <f t="shared" si="0"/>
        <v xml:space="preserve">Hispanic.or.Latino...South.American...Peruvian, </v>
      </c>
    </row>
    <row r="29" spans="1:2" x14ac:dyDescent="0.2">
      <c r="A29" t="s">
        <v>30</v>
      </c>
      <c r="B29" t="str">
        <f t="shared" si="0"/>
        <v xml:space="preserve">Hispanic.or.Latino...South.American...Venezuelan, </v>
      </c>
    </row>
    <row r="30" spans="1:2" x14ac:dyDescent="0.2">
      <c r="A30" t="s">
        <v>31</v>
      </c>
      <c r="B30" t="str">
        <f t="shared" si="0"/>
        <v xml:space="preserve">Hispanic.or.Latino...Other.Hispanic.or.Latino., </v>
      </c>
    </row>
    <row r="31" spans="1:2" x14ac:dyDescent="0.2">
      <c r="A31" t="s">
        <v>32</v>
      </c>
      <c r="B31" t="str">
        <f>_xlfn.CONCAT(A31)</f>
        <v>other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600D-2BFA-444E-9FA5-0AABD86DEC8B}">
  <dimension ref="A1:B31"/>
  <sheetViews>
    <sheetView workbookViewId="0">
      <selection activeCell="B32" sqref="B32"/>
    </sheetView>
  </sheetViews>
  <sheetFormatPr baseColWidth="10" defaultRowHeight="16" x14ac:dyDescent="0.2"/>
  <sheetData>
    <row r="1" spans="1:2" x14ac:dyDescent="0.2">
      <c r="A1" t="s">
        <v>0</v>
      </c>
      <c r="B1" t="str">
        <f>_xlfn.CONCAT(A1,", ")</f>
        <v xml:space="preserve">American, </v>
      </c>
    </row>
    <row r="2" spans="1:2" x14ac:dyDescent="0.2">
      <c r="A2" t="s">
        <v>2</v>
      </c>
      <c r="B2" t="str">
        <f t="shared" ref="B2:B31" si="0">_xlfn.CONCAT(A2,", ")</f>
        <v xml:space="preserve">English, </v>
      </c>
    </row>
    <row r="3" spans="1:2" x14ac:dyDescent="0.2">
      <c r="A3" t="s">
        <v>4</v>
      </c>
      <c r="B3" t="str">
        <f t="shared" si="0"/>
        <v xml:space="preserve">French..except.Basque., </v>
      </c>
    </row>
    <row r="4" spans="1:2" x14ac:dyDescent="0.2">
      <c r="A4" t="s">
        <v>5</v>
      </c>
      <c r="B4" t="str">
        <f t="shared" si="0"/>
        <v xml:space="preserve">French.Canadian, </v>
      </c>
    </row>
    <row r="5" spans="1:2" x14ac:dyDescent="0.2">
      <c r="A5" t="s">
        <v>6</v>
      </c>
      <c r="B5" t="str">
        <f t="shared" si="0"/>
        <v xml:space="preserve">German, </v>
      </c>
    </row>
    <row r="6" spans="1:2" x14ac:dyDescent="0.2">
      <c r="A6" t="s">
        <v>7</v>
      </c>
      <c r="B6" t="str">
        <f t="shared" si="0"/>
        <v xml:space="preserve">Greek, </v>
      </c>
    </row>
    <row r="7" spans="1:2" x14ac:dyDescent="0.2">
      <c r="A7" t="s">
        <v>8</v>
      </c>
      <c r="B7" t="str">
        <f t="shared" si="0"/>
        <v xml:space="preserve">Irish, </v>
      </c>
    </row>
    <row r="8" spans="1:2" x14ac:dyDescent="0.2">
      <c r="A8" t="s">
        <v>9</v>
      </c>
      <c r="B8" t="str">
        <f t="shared" si="0"/>
        <v xml:space="preserve">Italian, </v>
      </c>
    </row>
    <row r="9" spans="1:2" x14ac:dyDescent="0.2">
      <c r="A9" t="s">
        <v>10</v>
      </c>
      <c r="B9" t="str">
        <f t="shared" si="0"/>
        <v xml:space="preserve">Polish, </v>
      </c>
    </row>
    <row r="10" spans="1:2" x14ac:dyDescent="0.2">
      <c r="A10" t="s">
        <v>37</v>
      </c>
      <c r="B10" t="str">
        <f t="shared" si="0"/>
        <v xml:space="preserve">Portuguese, </v>
      </c>
    </row>
    <row r="11" spans="1:2" x14ac:dyDescent="0.2">
      <c r="A11" t="s">
        <v>11</v>
      </c>
      <c r="B11" t="str">
        <f t="shared" si="0"/>
        <v xml:space="preserve">Russian, </v>
      </c>
    </row>
    <row r="12" spans="1:2" x14ac:dyDescent="0.2">
      <c r="A12" t="s">
        <v>12</v>
      </c>
      <c r="B12" t="str">
        <f t="shared" si="0"/>
        <v xml:space="preserve">Scottish, </v>
      </c>
    </row>
    <row r="13" spans="1:2" x14ac:dyDescent="0.2">
      <c r="A13" t="s">
        <v>34</v>
      </c>
      <c r="B13" t="str">
        <f t="shared" si="0"/>
        <v xml:space="preserve">Swedish, </v>
      </c>
    </row>
    <row r="14" spans="1:2" x14ac:dyDescent="0.2">
      <c r="A14" t="s">
        <v>13</v>
      </c>
      <c r="B14" t="str">
        <f t="shared" si="0"/>
        <v xml:space="preserve">Unclassified.or.not.reported, </v>
      </c>
    </row>
    <row r="15" spans="1:2" x14ac:dyDescent="0.2">
      <c r="A15" t="s">
        <v>14</v>
      </c>
      <c r="B15" t="str">
        <f t="shared" si="0"/>
        <v xml:space="preserve">Hispanic.or.Latino...Puerto.Rican, </v>
      </c>
    </row>
    <row r="16" spans="1:2" x14ac:dyDescent="0.2">
      <c r="A16" t="s">
        <v>15</v>
      </c>
      <c r="B16" t="str">
        <f t="shared" si="0"/>
        <v xml:space="preserve">Hispanic.or.Latino...Cuban, </v>
      </c>
    </row>
    <row r="17" spans="1:2" x14ac:dyDescent="0.2">
      <c r="A17" t="s">
        <v>16</v>
      </c>
      <c r="B17" t="str">
        <f t="shared" si="0"/>
        <v xml:space="preserve">Hispanic.or.Latino...Dominican..Dominican.Republic., </v>
      </c>
    </row>
    <row r="18" spans="1:2" x14ac:dyDescent="0.2">
      <c r="A18" t="s">
        <v>17</v>
      </c>
      <c r="B18" t="str">
        <f t="shared" si="0"/>
        <v xml:space="preserve">Hispanic.or.Latino...Central.American...Costa.Rican, </v>
      </c>
    </row>
    <row r="19" spans="1:2" x14ac:dyDescent="0.2">
      <c r="A19" t="s">
        <v>18</v>
      </c>
      <c r="B19" t="str">
        <f t="shared" si="0"/>
        <v xml:space="preserve">Hispanic.or.Latino...Central.American...Guatemalan, </v>
      </c>
    </row>
    <row r="20" spans="1:2" x14ac:dyDescent="0.2">
      <c r="A20" t="s">
        <v>19</v>
      </c>
      <c r="B20" t="str">
        <f t="shared" si="0"/>
        <v xml:space="preserve">Hispanic.or.Latino...Central.American...Honduran, </v>
      </c>
    </row>
    <row r="21" spans="1:2" x14ac:dyDescent="0.2">
      <c r="A21" t="s">
        <v>20</v>
      </c>
      <c r="B21" t="str">
        <f t="shared" si="0"/>
        <v xml:space="preserve">Hispanic.or.Latino...Central.American...Nicaraguan, </v>
      </c>
    </row>
    <row r="22" spans="1:2" x14ac:dyDescent="0.2">
      <c r="A22" t="s">
        <v>21</v>
      </c>
      <c r="B22" t="str">
        <f t="shared" si="0"/>
        <v xml:space="preserve">Hispanic.or.Latino...Central.American...Panamanian, </v>
      </c>
    </row>
    <row r="23" spans="1:2" x14ac:dyDescent="0.2">
      <c r="A23" t="s">
        <v>22</v>
      </c>
      <c r="B23" t="str">
        <f t="shared" si="0"/>
        <v xml:space="preserve">Hispanic.or.Latino...Central.American...Salvadoran, </v>
      </c>
    </row>
    <row r="24" spans="1:2" x14ac:dyDescent="0.2">
      <c r="A24" t="s">
        <v>23</v>
      </c>
      <c r="B24" t="str">
        <f t="shared" si="0"/>
        <v xml:space="preserve">Hispanic.or.Latino...South.American...Argentinean, </v>
      </c>
    </row>
    <row r="25" spans="1:2" x14ac:dyDescent="0.2">
      <c r="A25" t="s">
        <v>25</v>
      </c>
      <c r="B25" t="str">
        <f t="shared" si="0"/>
        <v xml:space="preserve">Hispanic.or.Latino...South.American...Chilean, </v>
      </c>
    </row>
    <row r="26" spans="1:2" x14ac:dyDescent="0.2">
      <c r="A26" t="s">
        <v>26</v>
      </c>
      <c r="B26" t="str">
        <f t="shared" si="0"/>
        <v xml:space="preserve">Hispanic.or.Latino...South.American...Colombian, </v>
      </c>
    </row>
    <row r="27" spans="1:2" x14ac:dyDescent="0.2">
      <c r="A27" t="s">
        <v>27</v>
      </c>
      <c r="B27" t="str">
        <f t="shared" si="0"/>
        <v xml:space="preserve">Hispanic.or.Latino...South.American...Ecuadorian, </v>
      </c>
    </row>
    <row r="28" spans="1:2" x14ac:dyDescent="0.2">
      <c r="A28" t="s">
        <v>28</v>
      </c>
      <c r="B28" t="str">
        <f t="shared" si="0"/>
        <v xml:space="preserve">Hispanic.or.Latino...South.American...Peruvian, </v>
      </c>
    </row>
    <row r="29" spans="1:2" x14ac:dyDescent="0.2">
      <c r="A29" t="s">
        <v>30</v>
      </c>
      <c r="B29" t="str">
        <f t="shared" si="0"/>
        <v xml:space="preserve">Hispanic.or.Latino...South.American...Venezuelan, </v>
      </c>
    </row>
    <row r="30" spans="1:2" x14ac:dyDescent="0.2">
      <c r="A30" t="s">
        <v>31</v>
      </c>
      <c r="B30" t="str">
        <f t="shared" si="0"/>
        <v xml:space="preserve">Hispanic.or.Latino...Other.Hispanic.or.Latino., </v>
      </c>
    </row>
    <row r="31" spans="1:2" x14ac:dyDescent="0.2">
      <c r="A31" t="s">
        <v>32</v>
      </c>
      <c r="B31" t="str">
        <f>_xlfn.CONCAT(A31)</f>
        <v>other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FF49C-B646-F845-A1AB-06423B567D4A}">
  <dimension ref="A1:B30"/>
  <sheetViews>
    <sheetView workbookViewId="0">
      <selection activeCell="B31" sqref="B31"/>
    </sheetView>
  </sheetViews>
  <sheetFormatPr baseColWidth="10" defaultRowHeight="16" x14ac:dyDescent="0.2"/>
  <sheetData>
    <row r="1" spans="1:2" x14ac:dyDescent="0.2">
      <c r="A1" t="s">
        <v>0</v>
      </c>
      <c r="B1" t="str">
        <f>_xlfn.CONCAT(A1,", ")</f>
        <v xml:space="preserve">American, </v>
      </c>
    </row>
    <row r="2" spans="1:2" x14ac:dyDescent="0.2">
      <c r="A2" t="s">
        <v>2</v>
      </c>
      <c r="B2" t="str">
        <f t="shared" ref="B2:B30" si="0">_xlfn.CONCAT(A2,", ")</f>
        <v xml:space="preserve">English, </v>
      </c>
    </row>
    <row r="3" spans="1:2" x14ac:dyDescent="0.2">
      <c r="A3" t="s">
        <v>4</v>
      </c>
      <c r="B3" t="str">
        <f t="shared" si="0"/>
        <v xml:space="preserve">French..except.Basque., </v>
      </c>
    </row>
    <row r="4" spans="1:2" x14ac:dyDescent="0.2">
      <c r="A4" t="s">
        <v>5</v>
      </c>
      <c r="B4" t="str">
        <f t="shared" si="0"/>
        <v xml:space="preserve">French.Canadian, </v>
      </c>
    </row>
    <row r="5" spans="1:2" x14ac:dyDescent="0.2">
      <c r="A5" t="s">
        <v>6</v>
      </c>
      <c r="B5" t="str">
        <f t="shared" si="0"/>
        <v xml:space="preserve">German, </v>
      </c>
    </row>
    <row r="6" spans="1:2" x14ac:dyDescent="0.2">
      <c r="A6" t="s">
        <v>7</v>
      </c>
      <c r="B6" t="str">
        <f t="shared" si="0"/>
        <v xml:space="preserve">Greek, </v>
      </c>
    </row>
    <row r="7" spans="1:2" x14ac:dyDescent="0.2">
      <c r="A7" t="s">
        <v>8</v>
      </c>
      <c r="B7" t="str">
        <f t="shared" si="0"/>
        <v xml:space="preserve">Irish, </v>
      </c>
    </row>
    <row r="8" spans="1:2" x14ac:dyDescent="0.2">
      <c r="A8" t="s">
        <v>9</v>
      </c>
      <c r="B8" t="str">
        <f t="shared" si="0"/>
        <v xml:space="preserve">Italian, </v>
      </c>
    </row>
    <row r="9" spans="1:2" x14ac:dyDescent="0.2">
      <c r="A9" t="s">
        <v>10</v>
      </c>
      <c r="B9" t="str">
        <f t="shared" si="0"/>
        <v xml:space="preserve">Polish, </v>
      </c>
    </row>
    <row r="10" spans="1:2" x14ac:dyDescent="0.2">
      <c r="A10" t="s">
        <v>37</v>
      </c>
      <c r="B10" t="str">
        <f t="shared" si="0"/>
        <v xml:space="preserve">Portuguese, </v>
      </c>
    </row>
    <row r="11" spans="1:2" x14ac:dyDescent="0.2">
      <c r="A11" t="s">
        <v>12</v>
      </c>
      <c r="B11" t="str">
        <f t="shared" si="0"/>
        <v xml:space="preserve">Scottish, </v>
      </c>
    </row>
    <row r="12" spans="1:2" x14ac:dyDescent="0.2">
      <c r="A12" t="s">
        <v>34</v>
      </c>
      <c r="B12" t="str">
        <f t="shared" si="0"/>
        <v xml:space="preserve">Swedish, </v>
      </c>
    </row>
    <row r="13" spans="1:2" x14ac:dyDescent="0.2">
      <c r="A13" t="s">
        <v>13</v>
      </c>
      <c r="B13" t="str">
        <f t="shared" si="0"/>
        <v xml:space="preserve">Unclassified.or.not.reported, </v>
      </c>
    </row>
    <row r="14" spans="1:2" x14ac:dyDescent="0.2">
      <c r="A14" t="s">
        <v>14</v>
      </c>
      <c r="B14" t="str">
        <f t="shared" si="0"/>
        <v xml:space="preserve">Hispanic.or.Latino...Puerto.Rican, </v>
      </c>
    </row>
    <row r="15" spans="1:2" x14ac:dyDescent="0.2">
      <c r="A15" t="s">
        <v>15</v>
      </c>
      <c r="B15" t="str">
        <f t="shared" si="0"/>
        <v xml:space="preserve">Hispanic.or.Latino...Cuban, </v>
      </c>
    </row>
    <row r="16" spans="1:2" x14ac:dyDescent="0.2">
      <c r="A16" t="s">
        <v>16</v>
      </c>
      <c r="B16" t="str">
        <f t="shared" si="0"/>
        <v xml:space="preserve">Hispanic.or.Latino...Dominican..Dominican.Republic., </v>
      </c>
    </row>
    <row r="17" spans="1:2" x14ac:dyDescent="0.2">
      <c r="A17" t="s">
        <v>17</v>
      </c>
      <c r="B17" t="str">
        <f t="shared" si="0"/>
        <v xml:space="preserve">Hispanic.or.Latino...Central.American...Costa.Rican, </v>
      </c>
    </row>
    <row r="18" spans="1:2" x14ac:dyDescent="0.2">
      <c r="A18" t="s">
        <v>18</v>
      </c>
      <c r="B18" t="str">
        <f t="shared" si="0"/>
        <v xml:space="preserve">Hispanic.or.Latino...Central.American...Guatemalan, </v>
      </c>
    </row>
    <row r="19" spans="1:2" x14ac:dyDescent="0.2">
      <c r="A19" t="s">
        <v>19</v>
      </c>
      <c r="B19" t="str">
        <f t="shared" si="0"/>
        <v xml:space="preserve">Hispanic.or.Latino...Central.American...Honduran, </v>
      </c>
    </row>
    <row r="20" spans="1:2" x14ac:dyDescent="0.2">
      <c r="A20" t="s">
        <v>20</v>
      </c>
      <c r="B20" t="str">
        <f t="shared" si="0"/>
        <v xml:space="preserve">Hispanic.or.Latino...Central.American...Nicaraguan, </v>
      </c>
    </row>
    <row r="21" spans="1:2" x14ac:dyDescent="0.2">
      <c r="A21" t="s">
        <v>21</v>
      </c>
      <c r="B21" t="str">
        <f t="shared" si="0"/>
        <v xml:space="preserve">Hispanic.or.Latino...Central.American...Panamanian, </v>
      </c>
    </row>
    <row r="22" spans="1:2" x14ac:dyDescent="0.2">
      <c r="A22" t="s">
        <v>22</v>
      </c>
      <c r="B22" t="str">
        <f t="shared" si="0"/>
        <v xml:space="preserve">Hispanic.or.Latino...Central.American...Salvadoran, </v>
      </c>
    </row>
    <row r="23" spans="1:2" x14ac:dyDescent="0.2">
      <c r="A23" t="s">
        <v>23</v>
      </c>
      <c r="B23" t="str">
        <f t="shared" si="0"/>
        <v xml:space="preserve">Hispanic.or.Latino...South.American...Argentinean, </v>
      </c>
    </row>
    <row r="24" spans="1:2" x14ac:dyDescent="0.2">
      <c r="A24" t="s">
        <v>25</v>
      </c>
      <c r="B24" t="str">
        <f t="shared" si="0"/>
        <v xml:space="preserve">Hispanic.or.Latino...South.American...Chilean, </v>
      </c>
    </row>
    <row r="25" spans="1:2" x14ac:dyDescent="0.2">
      <c r="A25" t="s">
        <v>26</v>
      </c>
      <c r="B25" t="str">
        <f t="shared" si="0"/>
        <v xml:space="preserve">Hispanic.or.Latino...South.American...Colombian, </v>
      </c>
    </row>
    <row r="26" spans="1:2" x14ac:dyDescent="0.2">
      <c r="A26" t="s">
        <v>27</v>
      </c>
      <c r="B26" t="str">
        <f t="shared" si="0"/>
        <v xml:space="preserve">Hispanic.or.Latino...South.American...Ecuadorian, </v>
      </c>
    </row>
    <row r="27" spans="1:2" x14ac:dyDescent="0.2">
      <c r="A27" t="s">
        <v>42</v>
      </c>
      <c r="B27" t="str">
        <f t="shared" si="0"/>
        <v xml:space="preserve">Hispanic.or.Latino...South.American...Paraguayan, </v>
      </c>
    </row>
    <row r="28" spans="1:2" x14ac:dyDescent="0.2">
      <c r="A28" t="s">
        <v>30</v>
      </c>
      <c r="B28" t="str">
        <f t="shared" si="0"/>
        <v xml:space="preserve">Hispanic.or.Latino...South.American...Venezuelan, </v>
      </c>
    </row>
    <row r="29" spans="1:2" x14ac:dyDescent="0.2">
      <c r="A29" t="s">
        <v>31</v>
      </c>
      <c r="B29" t="str">
        <f t="shared" si="0"/>
        <v xml:space="preserve">Hispanic.or.Latino...Other.Hispanic.or.Latino., </v>
      </c>
    </row>
    <row r="30" spans="1:2" x14ac:dyDescent="0.2">
      <c r="A30" t="s">
        <v>32</v>
      </c>
      <c r="B30" t="str">
        <f>_xlfn.CONCAT(A30)</f>
        <v>other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E866-79BB-B043-A1D0-E0096DB2642E}">
  <dimension ref="A1:B30"/>
  <sheetViews>
    <sheetView workbookViewId="0">
      <selection activeCell="B31" sqref="B31"/>
    </sheetView>
  </sheetViews>
  <sheetFormatPr baseColWidth="10" defaultRowHeight="16" x14ac:dyDescent="0.2"/>
  <sheetData>
    <row r="1" spans="1:2" x14ac:dyDescent="0.2">
      <c r="A1" t="s">
        <v>0</v>
      </c>
      <c r="B1" t="str">
        <f>_xlfn.CONCAT(A1,", ")</f>
        <v xml:space="preserve">American, </v>
      </c>
    </row>
    <row r="2" spans="1:2" x14ac:dyDescent="0.2">
      <c r="A2" t="s">
        <v>2</v>
      </c>
      <c r="B2" t="str">
        <f t="shared" ref="B2:B30" si="0">_xlfn.CONCAT(A2,", ")</f>
        <v xml:space="preserve">English, </v>
      </c>
    </row>
    <row r="3" spans="1:2" x14ac:dyDescent="0.2">
      <c r="A3" t="s">
        <v>4</v>
      </c>
      <c r="B3" t="str">
        <f t="shared" si="0"/>
        <v xml:space="preserve">French..except.Basque., </v>
      </c>
    </row>
    <row r="4" spans="1:2" x14ac:dyDescent="0.2">
      <c r="A4" t="s">
        <v>5</v>
      </c>
      <c r="B4" t="str">
        <f t="shared" si="0"/>
        <v xml:space="preserve">French.Canadian, </v>
      </c>
    </row>
    <row r="5" spans="1:2" x14ac:dyDescent="0.2">
      <c r="A5" t="s">
        <v>6</v>
      </c>
      <c r="B5" t="str">
        <f t="shared" si="0"/>
        <v xml:space="preserve">German, </v>
      </c>
    </row>
    <row r="6" spans="1:2" x14ac:dyDescent="0.2">
      <c r="A6" t="s">
        <v>7</v>
      </c>
      <c r="B6" t="str">
        <f t="shared" si="0"/>
        <v xml:space="preserve">Greek, </v>
      </c>
    </row>
    <row r="7" spans="1:2" x14ac:dyDescent="0.2">
      <c r="A7" t="s">
        <v>8</v>
      </c>
      <c r="B7" t="str">
        <f t="shared" si="0"/>
        <v xml:space="preserve">Irish, </v>
      </c>
    </row>
    <row r="8" spans="1:2" x14ac:dyDescent="0.2">
      <c r="A8" t="s">
        <v>9</v>
      </c>
      <c r="B8" t="str">
        <f t="shared" si="0"/>
        <v xml:space="preserve">Italian, </v>
      </c>
    </row>
    <row r="9" spans="1:2" x14ac:dyDescent="0.2">
      <c r="A9" t="s">
        <v>10</v>
      </c>
      <c r="B9" t="str">
        <f t="shared" si="0"/>
        <v xml:space="preserve">Polish, </v>
      </c>
    </row>
    <row r="10" spans="1:2" x14ac:dyDescent="0.2">
      <c r="A10" t="s">
        <v>37</v>
      </c>
      <c r="B10" t="str">
        <f t="shared" si="0"/>
        <v xml:space="preserve">Portuguese, </v>
      </c>
    </row>
    <row r="11" spans="1:2" x14ac:dyDescent="0.2">
      <c r="A11" t="s">
        <v>12</v>
      </c>
      <c r="B11" t="str">
        <f t="shared" si="0"/>
        <v xml:space="preserve">Scottish, </v>
      </c>
    </row>
    <row r="12" spans="1:2" x14ac:dyDescent="0.2">
      <c r="A12" t="s">
        <v>34</v>
      </c>
      <c r="B12" t="str">
        <f t="shared" si="0"/>
        <v xml:space="preserve">Swedish, </v>
      </c>
    </row>
    <row r="13" spans="1:2" x14ac:dyDescent="0.2">
      <c r="A13" t="s">
        <v>13</v>
      </c>
      <c r="B13" t="str">
        <f t="shared" si="0"/>
        <v xml:space="preserve">Unclassified.or.not.reported, </v>
      </c>
    </row>
    <row r="14" spans="1:2" x14ac:dyDescent="0.2">
      <c r="A14" t="s">
        <v>14</v>
      </c>
      <c r="B14" t="str">
        <f t="shared" si="0"/>
        <v xml:space="preserve">Hispanic.or.Latino...Puerto.Rican, </v>
      </c>
    </row>
    <row r="15" spans="1:2" x14ac:dyDescent="0.2">
      <c r="A15" t="s">
        <v>15</v>
      </c>
      <c r="B15" t="str">
        <f t="shared" si="0"/>
        <v xml:space="preserve">Hispanic.or.Latino...Cuban, </v>
      </c>
    </row>
    <row r="16" spans="1:2" x14ac:dyDescent="0.2">
      <c r="A16" t="s">
        <v>16</v>
      </c>
      <c r="B16" t="str">
        <f t="shared" si="0"/>
        <v xml:space="preserve">Hispanic.or.Latino...Dominican..Dominican.Republic., </v>
      </c>
    </row>
    <row r="17" spans="1:2" x14ac:dyDescent="0.2">
      <c r="A17" t="s">
        <v>17</v>
      </c>
      <c r="B17" t="str">
        <f t="shared" si="0"/>
        <v xml:space="preserve">Hispanic.or.Latino...Central.American...Costa.Rican, </v>
      </c>
    </row>
    <row r="18" spans="1:2" x14ac:dyDescent="0.2">
      <c r="A18" t="s">
        <v>18</v>
      </c>
      <c r="B18" t="str">
        <f t="shared" si="0"/>
        <v xml:space="preserve">Hispanic.or.Latino...Central.American...Guatemalan, </v>
      </c>
    </row>
    <row r="19" spans="1:2" x14ac:dyDescent="0.2">
      <c r="A19" t="s">
        <v>19</v>
      </c>
      <c r="B19" t="str">
        <f t="shared" si="0"/>
        <v xml:space="preserve">Hispanic.or.Latino...Central.American...Honduran, </v>
      </c>
    </row>
    <row r="20" spans="1:2" x14ac:dyDescent="0.2">
      <c r="A20" t="s">
        <v>20</v>
      </c>
      <c r="B20" t="str">
        <f t="shared" si="0"/>
        <v xml:space="preserve">Hispanic.or.Latino...Central.American...Nicaraguan, </v>
      </c>
    </row>
    <row r="21" spans="1:2" x14ac:dyDescent="0.2">
      <c r="A21" t="s">
        <v>21</v>
      </c>
      <c r="B21" t="str">
        <f t="shared" si="0"/>
        <v xml:space="preserve">Hispanic.or.Latino...Central.American...Panamanian, </v>
      </c>
    </row>
    <row r="22" spans="1:2" x14ac:dyDescent="0.2">
      <c r="A22" t="s">
        <v>22</v>
      </c>
      <c r="B22" t="str">
        <f t="shared" si="0"/>
        <v xml:space="preserve">Hispanic.or.Latino...Central.American...Salvadoran, </v>
      </c>
    </row>
    <row r="23" spans="1:2" x14ac:dyDescent="0.2">
      <c r="A23" t="s">
        <v>23</v>
      </c>
      <c r="B23" t="str">
        <f t="shared" si="0"/>
        <v xml:space="preserve">Hispanic.or.Latino...South.American...Argentinean, </v>
      </c>
    </row>
    <row r="24" spans="1:2" x14ac:dyDescent="0.2">
      <c r="A24" t="s">
        <v>25</v>
      </c>
      <c r="B24" t="str">
        <f t="shared" si="0"/>
        <v xml:space="preserve">Hispanic.or.Latino...South.American...Chilean, </v>
      </c>
    </row>
    <row r="25" spans="1:2" x14ac:dyDescent="0.2">
      <c r="A25" t="s">
        <v>26</v>
      </c>
      <c r="B25" t="str">
        <f t="shared" si="0"/>
        <v xml:space="preserve">Hispanic.or.Latino...South.American...Colombian, </v>
      </c>
    </row>
    <row r="26" spans="1:2" x14ac:dyDescent="0.2">
      <c r="A26" t="s">
        <v>27</v>
      </c>
      <c r="B26" t="str">
        <f t="shared" si="0"/>
        <v xml:space="preserve">Hispanic.or.Latino...South.American...Ecuadorian, </v>
      </c>
    </row>
    <row r="27" spans="1:2" x14ac:dyDescent="0.2">
      <c r="A27" t="s">
        <v>28</v>
      </c>
      <c r="B27" t="str">
        <f t="shared" si="0"/>
        <v xml:space="preserve">Hispanic.or.Latino...South.American...Peruvian, </v>
      </c>
    </row>
    <row r="28" spans="1:2" x14ac:dyDescent="0.2">
      <c r="A28" t="s">
        <v>30</v>
      </c>
      <c r="B28" t="str">
        <f t="shared" si="0"/>
        <v xml:space="preserve">Hispanic.or.Latino...South.American...Venezuelan, </v>
      </c>
    </row>
    <row r="29" spans="1:2" x14ac:dyDescent="0.2">
      <c r="A29" t="s">
        <v>31</v>
      </c>
      <c r="B29" t="str">
        <f t="shared" si="0"/>
        <v xml:space="preserve">Hispanic.or.Latino...Other.Hispanic.or.Latino., </v>
      </c>
    </row>
    <row r="30" spans="1:2" x14ac:dyDescent="0.2">
      <c r="A30" t="s">
        <v>32</v>
      </c>
      <c r="B30" t="str">
        <f>_xlfn.CONCAT(A30)</f>
        <v>other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55056-5D14-CA4A-886C-F0EA9B807C25}">
  <dimension ref="A1:B29"/>
  <sheetViews>
    <sheetView workbookViewId="0">
      <selection activeCell="B30" sqref="B30"/>
    </sheetView>
  </sheetViews>
  <sheetFormatPr baseColWidth="10" defaultRowHeight="16" x14ac:dyDescent="0.2"/>
  <sheetData>
    <row r="1" spans="1:2" x14ac:dyDescent="0.2">
      <c r="A1" t="s">
        <v>0</v>
      </c>
      <c r="B1" t="str">
        <f>_xlfn.CONCAT(A1,", ")</f>
        <v xml:space="preserve">American, </v>
      </c>
    </row>
    <row r="2" spans="1:2" x14ac:dyDescent="0.2">
      <c r="A2" t="s">
        <v>2</v>
      </c>
      <c r="B2" t="str">
        <f t="shared" ref="B2:B29" si="0">_xlfn.CONCAT(A2,", ")</f>
        <v xml:space="preserve">English, </v>
      </c>
    </row>
    <row r="3" spans="1:2" x14ac:dyDescent="0.2">
      <c r="A3" t="s">
        <v>3</v>
      </c>
      <c r="B3" t="str">
        <f t="shared" si="0"/>
        <v xml:space="preserve">European, </v>
      </c>
    </row>
    <row r="4" spans="1:2" x14ac:dyDescent="0.2">
      <c r="A4" t="s">
        <v>4</v>
      </c>
      <c r="B4" t="str">
        <f t="shared" si="0"/>
        <v xml:space="preserve">French..except.Basque., </v>
      </c>
    </row>
    <row r="5" spans="1:2" x14ac:dyDescent="0.2">
      <c r="A5" t="s">
        <v>5</v>
      </c>
      <c r="B5" t="str">
        <f t="shared" si="0"/>
        <v xml:space="preserve">French.Canadian, </v>
      </c>
    </row>
    <row r="6" spans="1:2" x14ac:dyDescent="0.2">
      <c r="A6" t="s">
        <v>6</v>
      </c>
      <c r="B6" t="str">
        <f t="shared" si="0"/>
        <v xml:space="preserve">German, </v>
      </c>
    </row>
    <row r="7" spans="1:2" x14ac:dyDescent="0.2">
      <c r="A7" t="s">
        <v>8</v>
      </c>
      <c r="B7" t="str">
        <f t="shared" si="0"/>
        <v xml:space="preserve">Irish, </v>
      </c>
    </row>
    <row r="8" spans="1:2" x14ac:dyDescent="0.2">
      <c r="A8" t="s">
        <v>9</v>
      </c>
      <c r="B8" t="str">
        <f t="shared" si="0"/>
        <v xml:space="preserve">Italian, </v>
      </c>
    </row>
    <row r="9" spans="1:2" x14ac:dyDescent="0.2">
      <c r="A9" t="s">
        <v>10</v>
      </c>
      <c r="B9" t="str">
        <f t="shared" si="0"/>
        <v xml:space="preserve">Polish, </v>
      </c>
    </row>
    <row r="10" spans="1:2" x14ac:dyDescent="0.2">
      <c r="A10" t="s">
        <v>11</v>
      </c>
      <c r="B10" t="str">
        <f t="shared" si="0"/>
        <v xml:space="preserve">Russian, </v>
      </c>
    </row>
    <row r="11" spans="1:2" x14ac:dyDescent="0.2">
      <c r="A11" t="s">
        <v>12</v>
      </c>
      <c r="B11" t="str">
        <f t="shared" si="0"/>
        <v xml:space="preserve">Scottish, </v>
      </c>
    </row>
    <row r="12" spans="1:2" x14ac:dyDescent="0.2">
      <c r="A12" t="s">
        <v>13</v>
      </c>
      <c r="B12" t="str">
        <f t="shared" si="0"/>
        <v xml:space="preserve">Unclassified.or.not.reported, </v>
      </c>
    </row>
    <row r="13" spans="1:2" x14ac:dyDescent="0.2">
      <c r="A13" t="s">
        <v>14</v>
      </c>
      <c r="B13" t="str">
        <f t="shared" si="0"/>
        <v xml:space="preserve">Hispanic.or.Latino...Puerto.Rican, </v>
      </c>
    </row>
    <row r="14" spans="1:2" x14ac:dyDescent="0.2">
      <c r="A14" t="s">
        <v>15</v>
      </c>
      <c r="B14" t="str">
        <f t="shared" si="0"/>
        <v xml:space="preserve">Hispanic.or.Latino...Cuban, </v>
      </c>
    </row>
    <row r="15" spans="1:2" x14ac:dyDescent="0.2">
      <c r="A15" t="s">
        <v>16</v>
      </c>
      <c r="B15" t="str">
        <f t="shared" si="0"/>
        <v xml:space="preserve">Hispanic.or.Latino...Dominican..Dominican.Republic., </v>
      </c>
    </row>
    <row r="16" spans="1:2" x14ac:dyDescent="0.2">
      <c r="A16" t="s">
        <v>17</v>
      </c>
      <c r="B16" t="str">
        <f t="shared" si="0"/>
        <v xml:space="preserve">Hispanic.or.Latino...Central.American...Costa.Rican, </v>
      </c>
    </row>
    <row r="17" spans="1:2" x14ac:dyDescent="0.2">
      <c r="A17" t="s">
        <v>18</v>
      </c>
      <c r="B17" t="str">
        <f t="shared" si="0"/>
        <v xml:space="preserve">Hispanic.or.Latino...Central.American...Guatemalan, </v>
      </c>
    </row>
    <row r="18" spans="1:2" x14ac:dyDescent="0.2">
      <c r="A18" t="s">
        <v>19</v>
      </c>
      <c r="B18" t="str">
        <f t="shared" si="0"/>
        <v xml:space="preserve">Hispanic.or.Latino...Central.American...Honduran, </v>
      </c>
    </row>
    <row r="19" spans="1:2" x14ac:dyDescent="0.2">
      <c r="A19" t="s">
        <v>20</v>
      </c>
      <c r="B19" t="str">
        <f t="shared" si="0"/>
        <v xml:space="preserve">Hispanic.or.Latino...Central.American...Nicaraguan, </v>
      </c>
    </row>
    <row r="20" spans="1:2" x14ac:dyDescent="0.2">
      <c r="A20" t="s">
        <v>22</v>
      </c>
      <c r="B20" t="str">
        <f t="shared" si="0"/>
        <v xml:space="preserve">Hispanic.or.Latino...Central.American...Salvadoran, </v>
      </c>
    </row>
    <row r="21" spans="1:2" x14ac:dyDescent="0.2">
      <c r="A21" t="s">
        <v>40</v>
      </c>
      <c r="B21" t="str">
        <f t="shared" si="0"/>
        <v xml:space="preserve">Hispanic.or.Latino...Central.American...Other.Central.American, </v>
      </c>
    </row>
    <row r="22" spans="1:2" x14ac:dyDescent="0.2">
      <c r="A22" t="s">
        <v>23</v>
      </c>
      <c r="B22" t="str">
        <f t="shared" si="0"/>
        <v xml:space="preserve">Hispanic.or.Latino...South.American...Argentinean, </v>
      </c>
    </row>
    <row r="23" spans="1:2" x14ac:dyDescent="0.2">
      <c r="A23" t="s">
        <v>24</v>
      </c>
      <c r="B23" t="str">
        <f t="shared" si="0"/>
        <v xml:space="preserve">Hispanic.or.Latino...South.American...Bolivian, </v>
      </c>
    </row>
    <row r="24" spans="1:2" x14ac:dyDescent="0.2">
      <c r="A24" t="s">
        <v>26</v>
      </c>
      <c r="B24" t="str">
        <f t="shared" si="0"/>
        <v xml:space="preserve">Hispanic.or.Latino...South.American...Colombian, </v>
      </c>
    </row>
    <row r="25" spans="1:2" x14ac:dyDescent="0.2">
      <c r="A25" t="s">
        <v>27</v>
      </c>
      <c r="B25" t="str">
        <f t="shared" si="0"/>
        <v xml:space="preserve">Hispanic.or.Latino...South.American...Ecuadorian, </v>
      </c>
    </row>
    <row r="26" spans="1:2" x14ac:dyDescent="0.2">
      <c r="A26" t="s">
        <v>28</v>
      </c>
      <c r="B26" t="str">
        <f t="shared" si="0"/>
        <v xml:space="preserve">Hispanic.or.Latino...South.American...Peruvian, </v>
      </c>
    </row>
    <row r="27" spans="1:2" x14ac:dyDescent="0.2">
      <c r="A27" t="s">
        <v>30</v>
      </c>
      <c r="B27" t="str">
        <f t="shared" si="0"/>
        <v xml:space="preserve">Hispanic.or.Latino...South.American...Venezuelan, </v>
      </c>
    </row>
    <row r="28" spans="1:2" x14ac:dyDescent="0.2">
      <c r="A28" t="s">
        <v>31</v>
      </c>
      <c r="B28" t="str">
        <f t="shared" si="0"/>
        <v xml:space="preserve">Hispanic.or.Latino...Other.Hispanic.or.Latino., </v>
      </c>
    </row>
    <row r="29" spans="1:2" x14ac:dyDescent="0.2">
      <c r="A29" t="s">
        <v>32</v>
      </c>
      <c r="B29" t="str">
        <f>_xlfn.CONCAT(A29)</f>
        <v>other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C294B-2354-1145-94F4-A7B34C11F915}">
  <dimension ref="A1:B29"/>
  <sheetViews>
    <sheetView workbookViewId="0">
      <selection activeCell="B30" sqref="B30"/>
    </sheetView>
  </sheetViews>
  <sheetFormatPr baseColWidth="10" defaultRowHeight="16" x14ac:dyDescent="0.2"/>
  <cols>
    <col min="1" max="1" width="52.1640625" customWidth="1"/>
  </cols>
  <sheetData>
    <row r="1" spans="1:2" x14ac:dyDescent="0.2">
      <c r="A1" t="s">
        <v>0</v>
      </c>
      <c r="B1" t="str">
        <f>_xlfn.CONCAT(A1,", ")</f>
        <v xml:space="preserve">American, </v>
      </c>
    </row>
    <row r="2" spans="1:2" x14ac:dyDescent="0.2">
      <c r="A2" t="s">
        <v>43</v>
      </c>
      <c r="B2" t="str">
        <f t="shared" ref="B2:B29" si="0">_xlfn.CONCAT(A2,", ")</f>
        <v xml:space="preserve">Arab...Moroccan, </v>
      </c>
    </row>
    <row r="3" spans="1:2" x14ac:dyDescent="0.2">
      <c r="A3" t="s">
        <v>41</v>
      </c>
      <c r="B3" t="str">
        <f t="shared" si="0"/>
        <v xml:space="preserve">Brazilian, </v>
      </c>
    </row>
    <row r="4" spans="1:2" x14ac:dyDescent="0.2">
      <c r="A4" t="s">
        <v>2</v>
      </c>
      <c r="B4" t="str">
        <f t="shared" si="0"/>
        <v xml:space="preserve">English, </v>
      </c>
    </row>
    <row r="5" spans="1:2" x14ac:dyDescent="0.2">
      <c r="A5" t="s">
        <v>6</v>
      </c>
      <c r="B5" t="str">
        <f t="shared" si="0"/>
        <v xml:space="preserve">German, </v>
      </c>
    </row>
    <row r="6" spans="1:2" x14ac:dyDescent="0.2">
      <c r="A6" t="s">
        <v>8</v>
      </c>
      <c r="B6" t="str">
        <f t="shared" si="0"/>
        <v xml:space="preserve">Irish, </v>
      </c>
    </row>
    <row r="7" spans="1:2" x14ac:dyDescent="0.2">
      <c r="A7" t="s">
        <v>9</v>
      </c>
      <c r="B7" t="str">
        <f t="shared" si="0"/>
        <v xml:space="preserve">Italian, </v>
      </c>
    </row>
    <row r="8" spans="1:2" x14ac:dyDescent="0.2">
      <c r="A8" t="s">
        <v>10</v>
      </c>
      <c r="B8" t="str">
        <f t="shared" si="0"/>
        <v xml:space="preserve">Polish, </v>
      </c>
    </row>
    <row r="9" spans="1:2" x14ac:dyDescent="0.2">
      <c r="A9" t="s">
        <v>37</v>
      </c>
      <c r="B9" t="str">
        <f t="shared" si="0"/>
        <v xml:space="preserve">Portuguese, </v>
      </c>
    </row>
    <row r="10" spans="1:2" x14ac:dyDescent="0.2">
      <c r="A10" t="s">
        <v>13</v>
      </c>
      <c r="B10" t="str">
        <f t="shared" si="0"/>
        <v xml:space="preserve">Unclassified.or.not.reported, </v>
      </c>
    </row>
    <row r="11" spans="1:2" x14ac:dyDescent="0.2">
      <c r="A11" t="s">
        <v>14</v>
      </c>
      <c r="B11" t="str">
        <f t="shared" si="0"/>
        <v xml:space="preserve">Hispanic.or.Latino...Puerto.Rican, </v>
      </c>
    </row>
    <row r="12" spans="1:2" x14ac:dyDescent="0.2">
      <c r="A12" t="s">
        <v>15</v>
      </c>
      <c r="B12" t="str">
        <f t="shared" si="0"/>
        <v xml:space="preserve">Hispanic.or.Latino...Cuban, </v>
      </c>
    </row>
    <row r="13" spans="1:2" x14ac:dyDescent="0.2">
      <c r="A13" t="s">
        <v>16</v>
      </c>
      <c r="B13" t="str">
        <f t="shared" si="0"/>
        <v xml:space="preserve">Hispanic.or.Latino...Dominican..Dominican.Republic., </v>
      </c>
    </row>
    <row r="14" spans="1:2" x14ac:dyDescent="0.2">
      <c r="A14" t="s">
        <v>17</v>
      </c>
      <c r="B14" t="str">
        <f t="shared" si="0"/>
        <v xml:space="preserve">Hispanic.or.Latino...Central.American...Costa.Rican, </v>
      </c>
    </row>
    <row r="15" spans="1:2" x14ac:dyDescent="0.2">
      <c r="A15" t="s">
        <v>18</v>
      </c>
      <c r="B15" t="str">
        <f t="shared" si="0"/>
        <v xml:space="preserve">Hispanic.or.Latino...Central.American...Guatemalan, </v>
      </c>
    </row>
    <row r="16" spans="1:2" x14ac:dyDescent="0.2">
      <c r="A16" t="s">
        <v>19</v>
      </c>
      <c r="B16" t="str">
        <f t="shared" si="0"/>
        <v xml:space="preserve">Hispanic.or.Latino...Central.American...Honduran, </v>
      </c>
    </row>
    <row r="17" spans="1:2" x14ac:dyDescent="0.2">
      <c r="A17" t="s">
        <v>20</v>
      </c>
      <c r="B17" t="str">
        <f t="shared" si="0"/>
        <v xml:space="preserve">Hispanic.or.Latino...Central.American...Nicaraguan, </v>
      </c>
    </row>
    <row r="18" spans="1:2" x14ac:dyDescent="0.2">
      <c r="A18" t="s">
        <v>21</v>
      </c>
      <c r="B18" t="str">
        <f t="shared" si="0"/>
        <v xml:space="preserve">Hispanic.or.Latino...Central.American...Panamanian, </v>
      </c>
    </row>
    <row r="19" spans="1:2" x14ac:dyDescent="0.2">
      <c r="A19" t="s">
        <v>22</v>
      </c>
      <c r="B19" t="str">
        <f t="shared" si="0"/>
        <v xml:space="preserve">Hispanic.or.Latino...Central.American...Salvadoran, </v>
      </c>
    </row>
    <row r="20" spans="1:2" x14ac:dyDescent="0.2">
      <c r="A20" t="s">
        <v>40</v>
      </c>
      <c r="B20" t="str">
        <f t="shared" si="0"/>
        <v xml:space="preserve">Hispanic.or.Latino...Central.American...Other.Central.American, </v>
      </c>
    </row>
    <row r="21" spans="1:2" x14ac:dyDescent="0.2">
      <c r="A21" t="s">
        <v>23</v>
      </c>
      <c r="B21" t="str">
        <f t="shared" si="0"/>
        <v xml:space="preserve">Hispanic.or.Latino...South.American...Argentinean, </v>
      </c>
    </row>
    <row r="22" spans="1:2" x14ac:dyDescent="0.2">
      <c r="A22" t="s">
        <v>24</v>
      </c>
      <c r="B22" t="str">
        <f t="shared" si="0"/>
        <v xml:space="preserve">Hispanic.or.Latino...South.American...Bolivian, </v>
      </c>
    </row>
    <row r="23" spans="1:2" x14ac:dyDescent="0.2">
      <c r="A23" t="s">
        <v>25</v>
      </c>
      <c r="B23" t="str">
        <f t="shared" si="0"/>
        <v xml:space="preserve">Hispanic.or.Latino...South.American...Chilean, </v>
      </c>
    </row>
    <row r="24" spans="1:2" x14ac:dyDescent="0.2">
      <c r="A24" t="s">
        <v>26</v>
      </c>
      <c r="B24" t="str">
        <f t="shared" si="0"/>
        <v xml:space="preserve">Hispanic.or.Latino...South.American...Colombian, </v>
      </c>
    </row>
    <row r="25" spans="1:2" x14ac:dyDescent="0.2">
      <c r="A25" t="s">
        <v>27</v>
      </c>
      <c r="B25" t="str">
        <f t="shared" si="0"/>
        <v xml:space="preserve">Hispanic.or.Latino...South.American...Ecuadorian, </v>
      </c>
    </row>
    <row r="26" spans="1:2" x14ac:dyDescent="0.2">
      <c r="A26" t="s">
        <v>28</v>
      </c>
      <c r="B26" t="str">
        <f t="shared" si="0"/>
        <v xml:space="preserve">Hispanic.or.Latino...South.American...Peruvian, </v>
      </c>
    </row>
    <row r="27" spans="1:2" x14ac:dyDescent="0.2">
      <c r="A27" t="s">
        <v>30</v>
      </c>
      <c r="B27" t="str">
        <f t="shared" si="0"/>
        <v xml:space="preserve">Hispanic.or.Latino...South.American...Venezuelan, </v>
      </c>
    </row>
    <row r="28" spans="1:2" x14ac:dyDescent="0.2">
      <c r="A28" t="s">
        <v>31</v>
      </c>
      <c r="B28" t="str">
        <f t="shared" si="0"/>
        <v xml:space="preserve">Hispanic.or.Latino...Other.Hispanic.or.Latino., </v>
      </c>
    </row>
    <row r="29" spans="1:2" x14ac:dyDescent="0.2">
      <c r="A29" t="s">
        <v>32</v>
      </c>
      <c r="B29" t="str">
        <f>_xlfn.CONCAT(A29)</f>
        <v>other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94058304E35D4BA41C971EED53A900" ma:contentTypeVersion="13" ma:contentTypeDescription="Create a new document." ma:contentTypeScope="" ma:versionID="b1d50a519dadc8ad715d0e90461ded02">
  <xsd:schema xmlns:xsd="http://www.w3.org/2001/XMLSchema" xmlns:xs="http://www.w3.org/2001/XMLSchema" xmlns:p="http://schemas.microsoft.com/office/2006/metadata/properties" xmlns:ns2="d0698e67-e062-4b57-883b-8b4e092c8e9a" xmlns:ns3="67e7f70a-be5a-465c-90b1-ee657733946e" targetNamespace="http://schemas.microsoft.com/office/2006/metadata/properties" ma:root="true" ma:fieldsID="47a0d717dc720d3e89a1e53d093506cc" ns2:_="" ns3:_="">
    <xsd:import namespace="d0698e67-e062-4b57-883b-8b4e092c8e9a"/>
    <xsd:import namespace="67e7f70a-be5a-465c-90b1-ee65773394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698e67-e062-4b57-883b-8b4e092c8e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0fdde71-3d84-4f2a-8a39-a81d5da30a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e7f70a-be5a-465c-90b1-ee657733946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ba810b6-f49d-43b4-8b30-720f39d3e2f5}" ma:internalName="TaxCatchAll" ma:showField="CatchAllData" ma:web="67e7f70a-be5a-465c-90b1-ee65773394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e7f70a-be5a-465c-90b1-ee657733946e" xsi:nil="true"/>
    <lcf76f155ced4ddcb4097134ff3c332f xmlns="d0698e67-e062-4b57-883b-8b4e092c8e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882305-0415-4468-AF5F-51A79938D9DC}"/>
</file>

<file path=customXml/itemProps2.xml><?xml version="1.0" encoding="utf-8"?>
<ds:datastoreItem xmlns:ds="http://schemas.openxmlformats.org/officeDocument/2006/customXml" ds:itemID="{E469B426-148D-4531-B2A6-2BED90E7FEAB}"/>
</file>

<file path=customXml/itemProps3.xml><?xml version="1.0" encoding="utf-8"?>
<ds:datastoreItem xmlns:ds="http://schemas.openxmlformats.org/officeDocument/2006/customXml" ds:itemID="{8B3F151D-5A31-49FD-9FEF-54F249459F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overall</vt:lpstr>
      <vt:lpstr>PUMA00505</vt:lpstr>
      <vt:lpstr>PUMA00506</vt:lpstr>
      <vt:lpstr>PUMA00507</vt:lpstr>
      <vt:lpstr>PUMA00508</vt:lpstr>
      <vt:lpstr>PUMA01000</vt:lpstr>
      <vt:lpstr>PUMA01300</vt:lpstr>
      <vt:lpstr>PUMA02800</vt:lpstr>
      <vt:lpstr>PUMA03302</vt:lpstr>
      <vt:lpstr>PUMA03306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2023-05-23T18:53:51Z</dcterms:created>
  <dcterms:modified xsi:type="dcterms:W3CDTF">2023-05-24T14:56:17Z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0x0101001F94058304E35D4BA41C971EED53A900</vt:lpwstr>
  </property>
  <property fmtid="{D5CDD505-2E9C-101B-9397-08002B2CF9AE}" pid="3" name="MediaServiceImageTags">
    <vt:lpwstr/>
  </property>
</Properties>
</file>